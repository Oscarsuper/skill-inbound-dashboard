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Pendientes_Tipificar" sheetId="4" state="visible" r:id="rId4"/>
    <sheet xmlns:r="http://schemas.openxmlformats.org/officeDocument/2006/relationships" name="Lado a Lado" sheetId="5" state="visible" r:id="rId5"/>
  </sheets>
  <definedNames>
    <definedName name="_xlnm._FilterDatabase" localSheetId="3" hidden="1">'Pendientes_Tipificar'!$A$1:$I$1</definedName>
    <definedName name="_xlnm._FilterDatabase" localSheetId="4" hidden="1">'Lado a Lado'!$A$1:$K$1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color rgb="003D566E"/>
      <sz val="10"/>
    </font>
    <font>
      <b val="1"/>
      <color rgb="0014323F"/>
      <sz val="11.5"/>
    </font>
    <font>
      <b val="1"/>
      <color rgb="007C4A08"/>
      <sz val="10"/>
    </font>
    <font>
      <b val="1"/>
      <color rgb="00FFFFFF"/>
      <sz val="9.5"/>
    </font>
    <font>
      <b val="1"/>
      <color rgb="0014323F"/>
      <sz val="8.5"/>
    </font>
    <font>
      <color rgb="0064748B"/>
      <sz val="9.5"/>
    </font>
    <font>
      <b val="1"/>
      <color rgb="0014323F"/>
      <sz val="10"/>
    </font>
    <font>
      <color rgb="003D566E"/>
      <sz val="9.5"/>
    </font>
    <font>
      <color rgb="007A8CA3"/>
      <sz val="9"/>
    </font>
    <font>
      <b val="1"/>
      <color rgb="00475569"/>
      <sz val="9"/>
    </font>
    <font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4323F"/>
      </patternFill>
    </fill>
    <fill>
      <patternFill patternType="solid">
        <fgColor rgb="00E8F1EE"/>
      </patternFill>
    </fill>
    <fill>
      <patternFill patternType="solid">
        <fgColor rgb="00FEF6E7"/>
      </patternFill>
    </fill>
    <fill>
      <patternFill patternType="solid">
        <fgColor rgb="000E7C66"/>
      </patternFill>
    </fill>
    <fill>
      <patternFill patternType="solid">
        <fgColor rgb="001B4F7E"/>
      </patternFill>
    </fill>
    <fill>
      <patternFill patternType="solid">
        <fgColor rgb="00FFFDF4"/>
      </patternFill>
    </fill>
    <fill>
      <patternFill patternType="solid">
        <fgColor rgb="00F1F5F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CE5EC"/>
      </left>
      <right style="thin">
        <color rgb="00DCE5EC"/>
      </right>
      <top style="thin">
        <color rgb="00DCE5EC"/>
      </top>
      <bottom style="thin">
        <color rgb="00DCE5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49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0" fillId="7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1" fontId="0" fillId="7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3" fontId="0" fillId="7" borderId="1" applyAlignment="1" pivotButton="0" quotePrefix="0" xfId="0">
      <alignment horizontal="center"/>
    </xf>
    <xf numFmtId="164" fontId="7" fillId="9" borderId="1" applyAlignment="1" pivotButton="0" quotePrefix="0" xfId="0">
      <alignment horizontal="center"/>
    </xf>
    <xf numFmtId="1" fontId="7" fillId="9" borderId="1" applyAlignment="1" pivotButton="0" quotePrefix="0" xfId="0">
      <alignment horizontal="center"/>
    </xf>
    <xf numFmtId="0" fontId="12" fillId="0" borderId="0" pivotButton="0" quotePrefix="0" xfId="0"/>
    <xf numFmtId="49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9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4" customHeight="1">
      <c r="B2" s="1" t="inlineStr">
        <is>
          <t>PLANTILLA DE RESULTADOS — INBOUND</t>
        </is>
      </c>
    </row>
    <row r="4" ht="40.5" customHeight="1">
      <c r="B4" s="2" t="inlineStr">
        <is>
          <t>Archivo compartido por David Fonseca, Daniel Gómez, Jesús Ortiz y Eudymar Trocha. El portal que se genera es uno solo para todo el grupo.
Diligencia este archivo y cárgalo en el tablero con el botón «Cargar Excel». De ahí sale el portal que les repartes a los agentes.</t>
        </is>
      </c>
    </row>
    <row r="6" ht="24" customHeight="1">
      <c r="B6" s="3" t="inlineStr">
        <is>
          <t>LAS HOJAS</t>
        </is>
      </c>
    </row>
    <row r="7" ht="40.5" customHeight="1">
      <c r="B7" s="2" t="inlineStr">
        <is>
          <t>· Indicadores — los resultados del mes, un agente por fila.
· Pendientes_Tipificar — la cola de interacciones sin tipificar.
· Lado a Lado — los acompañamientos, con la observación de cada criterio.</t>
        </is>
      </c>
    </row>
    <row r="9" ht="15" customHeight="1">
      <c r="B9" s="4" t="inlineStr">
        <is>
          <t>No les cambies el nombre a las hojas. El tablero las busca por el nombre; si una se llama distinto, no la lee y no avisa.</t>
        </is>
      </c>
    </row>
    <row r="11" ht="24" customHeight="1">
      <c r="B11" s="3" t="inlineStr">
        <is>
          <t>CÓMO SE LEEN LOS INDICADORES</t>
        </is>
      </c>
    </row>
    <row r="12" ht="67.5" customHeight="1">
      <c r="B12" s="2" t="inlineStr">
        <is>
          <t>La fila 1 trae el nombre del indicador y la fila 2 sus tres columnas: RESULTADO, META y CUMPLIMIENTO. Desde la fila 3 va un agente por fila.
Puedes agregar indicadores o quitar los que no uses: basta con respetar ese bloque de tres columnas. El tablero los descubre solos.
Las columnas de cédula, nombre, skill y jefe_inmediato no se tocan: con ellas el tablero sabe a quién pertenece cada fila y de qué grupo es.</t>
        </is>
      </c>
    </row>
    <row r="14" ht="24" customHeight="1">
      <c r="B14" s="3" t="inlineStr">
        <is>
          <t>ESTO ES LO MÁS IMPORTANTE DE TODO EL ARCHIVO</t>
        </is>
      </c>
    </row>
    <row r="15" ht="90" customHeight="1">
      <c r="B15" s="4" t="inlineStr">
        <is>
          <t>El tablero decide si alguien cumple comparando el RESULTADO con la META. Para saber hacia qué lado, mira el NOMBRE del indicador:
· Si contiene TMO, TMR, AHT, TIEMPO, AUSENTISMO, ABANDONO, DESCONEXIÓN, ERROR, MAL RADICADO, MORA o ESPERA, cumplir es quedar POR DEBAJO de la meta.
· En todos los demás, cumplir es quedar POR ENCIMA.
Si creas un indicador donde menos es mejor, ponle un nombre con alguna de esas palabras. «REPROCESOS» se leería al revés; «ERRORES DE REPROCESO» se lee bien.</t>
        </is>
      </c>
    </row>
    <row r="17" ht="24" customHeight="1">
      <c r="B17" s="3" t="inlineStr">
        <is>
          <t>CÓMO SE ESCRIBE CADA DATO</t>
        </is>
      </c>
    </row>
    <row r="18" ht="81" customHeight="1">
      <c r="B18" s="2" t="inlineStr">
        <is>
          <t>· Porcentajes: escribe 95% o 0,95. La celda ya viene con formato de porcentaje.
· TMO: en SEGUNDOS enteros, como 410. No escribas 6:50. El tablero lo muestra convertido a minutos y segundos, pero la comparación tiene que ser entre números.
· Cantidades: números enteros.
· Si un agente no tiene medición, deja la celda vacía: sale en rojo y se nota.
· Si un indicador queda en blanco para TODO el equipo, el tablero entiende que aún no se ha medido y no lo cuenta.
· La columna CUMPLIMIENTO se calcula sola; es para verlo aquí.</t>
        </is>
      </c>
    </row>
    <row r="20" ht="24" customHeight="1">
      <c r="B20" s="3" t="inlineStr">
        <is>
          <t>PENDIENTES Y LADO A LADO</t>
        </is>
      </c>
    </row>
    <row r="21" ht="67.5" customHeight="1">
      <c r="B21" s="2" t="inlineStr">
        <is>
          <t>El nombre del agente tiene que quedar escrito IGUAL que en la hoja de indicadores: por ahí se cruzan las hojas. Usa el desplegable de la primera columna y no habrá problema.
En la columna del enlace pega la URL completa de la interacción; el agente tendrá el botón para abrirla.
En lado a lado va una fila por acompañamiento. No se califica con nota: lo que vale es lo que escribas en cada criterio. Las columnas de criterio son libres.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7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26" customHeight="1">
      <c r="A1" s="5" t="inlineStr">
        <is>
          <t>AGENTES</t>
        </is>
      </c>
      <c r="B1" s="6" t="n"/>
      <c r="C1" s="6" t="n"/>
      <c r="D1" s="6" t="n"/>
      <c r="E1" s="7" t="inlineStr">
        <is>
          <t>ADHERENCIA</t>
        </is>
      </c>
      <c r="F1" s="6" t="n"/>
      <c r="G1" s="6" t="n"/>
      <c r="H1" s="8" t="inlineStr">
        <is>
          <t>CALIDAD</t>
        </is>
      </c>
      <c r="I1" s="9" t="n"/>
      <c r="J1" s="9" t="n"/>
      <c r="K1" s="7" t="inlineStr">
        <is>
          <t>ENCUESTAS</t>
        </is>
      </c>
      <c r="L1" s="6" t="n"/>
      <c r="M1" s="6" t="n"/>
      <c r="N1" s="8" t="inlineStr">
        <is>
          <t>TIPIFICACION</t>
        </is>
      </c>
      <c r="O1" s="9" t="n"/>
      <c r="P1" s="9" t="n"/>
      <c r="Q1" s="7" t="inlineStr">
        <is>
          <t>NIVEL DE SERVICIO</t>
        </is>
      </c>
      <c r="R1" s="6" t="n"/>
      <c r="S1" s="6" t="n"/>
      <c r="T1" s="8" t="inlineStr">
        <is>
          <t>TMO</t>
        </is>
      </c>
      <c r="U1" s="9" t="n"/>
      <c r="V1" s="9" t="n"/>
      <c r="W1" s="7" t="inlineStr">
        <is>
          <t>ABANDONO</t>
        </is>
      </c>
      <c r="X1" s="6" t="n"/>
      <c r="Y1" s="6" t="n"/>
      <c r="Z1" s="8" t="inlineStr">
        <is>
          <t>AUSENTISMO</t>
        </is>
      </c>
      <c r="AA1" s="9" t="n"/>
      <c r="AB1" s="9" t="n"/>
      <c r="AC1" s="7" t="inlineStr">
        <is>
          <t>MAL RADICADOS</t>
        </is>
      </c>
      <c r="AD1" s="6" t="n"/>
      <c r="AE1" s="6" t="n"/>
      <c r="AF1" s="8" t="inlineStr">
        <is>
          <t>MORA</t>
        </is>
      </c>
      <c r="AG1" s="9" t="n"/>
      <c r="AH1" s="9" t="n"/>
      <c r="AI1" s="10" t="inlineStr">
        <is>
          <t>PRODUCTIVIDAD</t>
        </is>
      </c>
      <c r="AJ1" s="11" t="n"/>
    </row>
    <row r="2" ht="30" customHeight="1">
      <c r="A2" s="12" t="inlineStr">
        <is>
          <t>cedula</t>
        </is>
      </c>
      <c r="B2" s="12" t="inlineStr">
        <is>
          <t>nombre_completo</t>
        </is>
      </c>
      <c r="C2" s="12" t="inlineStr">
        <is>
          <t>skill</t>
        </is>
      </c>
      <c r="D2" s="12" t="inlineStr">
        <is>
          <t>jefe_inmediato</t>
        </is>
      </c>
      <c r="E2" s="12" t="inlineStr">
        <is>
          <t>RESULTADO</t>
        </is>
      </c>
      <c r="F2" s="12" t="inlineStr">
        <is>
          <t>META</t>
        </is>
      </c>
      <c r="G2" s="12" t="inlineStr">
        <is>
          <t>CUMPLIMIENTO</t>
        </is>
      </c>
      <c r="H2" s="12" t="inlineStr">
        <is>
          <t>RESULTADO</t>
        </is>
      </c>
      <c r="I2" s="12" t="inlineStr">
        <is>
          <t>META</t>
        </is>
      </c>
      <c r="J2" s="12" t="inlineStr">
        <is>
          <t>CUMPLIMIENTO</t>
        </is>
      </c>
      <c r="K2" s="12" t="inlineStr">
        <is>
          <t>RESULTADO</t>
        </is>
      </c>
      <c r="L2" s="12" t="inlineStr">
        <is>
          <t>META</t>
        </is>
      </c>
      <c r="M2" s="12" t="inlineStr">
        <is>
          <t>CUMPLIMIENTO</t>
        </is>
      </c>
      <c r="N2" s="12" t="inlineStr">
        <is>
          <t>RESULTADO</t>
        </is>
      </c>
      <c r="O2" s="12" t="inlineStr">
        <is>
          <t>META</t>
        </is>
      </c>
      <c r="P2" s="12" t="inlineStr">
        <is>
          <t>CUMPLIMIENTO</t>
        </is>
      </c>
      <c r="Q2" s="12" t="inlineStr">
        <is>
          <t>RESULTADO</t>
        </is>
      </c>
      <c r="R2" s="12" t="inlineStr">
        <is>
          <t>META</t>
        </is>
      </c>
      <c r="S2" s="12" t="inlineStr">
        <is>
          <t>CUMPLIMIENTO</t>
        </is>
      </c>
      <c r="T2" s="12" t="inlineStr">
        <is>
          <t>RESULTADO</t>
        </is>
      </c>
      <c r="U2" s="12" t="inlineStr">
        <is>
          <t>META</t>
        </is>
      </c>
      <c r="V2" s="12" t="inlineStr">
        <is>
          <t>CUMPLIMIENTO</t>
        </is>
      </c>
      <c r="W2" s="12" t="inlineStr">
        <is>
          <t>RESULTADO</t>
        </is>
      </c>
      <c r="X2" s="12" t="inlineStr">
        <is>
          <t>META</t>
        </is>
      </c>
      <c r="Y2" s="12" t="inlineStr">
        <is>
          <t>CUMPLIMIENTO</t>
        </is>
      </c>
      <c r="Z2" s="12" t="inlineStr">
        <is>
          <t>RESULTADO</t>
        </is>
      </c>
      <c r="AA2" s="12" t="inlineStr">
        <is>
          <t>META</t>
        </is>
      </c>
      <c r="AB2" s="12" t="inlineStr">
        <is>
          <t>CUMPLIMIENTO</t>
        </is>
      </c>
      <c r="AC2" s="12" t="inlineStr">
        <is>
          <t>RESULTADO</t>
        </is>
      </c>
      <c r="AD2" s="12" t="inlineStr">
        <is>
          <t>META</t>
        </is>
      </c>
      <c r="AE2" s="12" t="inlineStr">
        <is>
          <t>CUMPLIMIENTO</t>
        </is>
      </c>
      <c r="AF2" s="12" t="inlineStr">
        <is>
          <t>RESULTADO</t>
        </is>
      </c>
      <c r="AG2" s="12" t="inlineStr">
        <is>
          <t>META</t>
        </is>
      </c>
      <c r="AH2" s="12" t="inlineStr">
        <is>
          <t>CUMPLIMIENTO</t>
        </is>
      </c>
      <c r="AI2" s="12" t="inlineStr">
        <is>
          <t>contestados</t>
        </is>
      </c>
      <c r="AJ2" s="12" t="inlineStr">
        <is>
          <t>promedio_diario</t>
        </is>
      </c>
    </row>
    <row r="3">
      <c r="A3" s="13" t="inlineStr">
        <is>
          <t>1019052673</t>
        </is>
      </c>
      <c r="B3" s="14" t="inlineStr">
        <is>
          <t>ARIZA VILLARRAGA ALEXANDER</t>
        </is>
      </c>
      <c r="C3" s="15" t="inlineStr">
        <is>
          <t>INBOUND</t>
        </is>
      </c>
      <c r="D3" s="16" t="inlineStr">
        <is>
          <t>FONSECA GONZALEZ DAVID ALEXANDER</t>
        </is>
      </c>
      <c r="E3" s="17" t="n"/>
      <c r="F3" s="18" t="n">
        <v>0.95</v>
      </c>
      <c r="G3" s="19">
        <f>IF(E3="","",IF(E3&gt;=F3,"CUMPLE","NO CUMPLE"))</f>
        <v/>
      </c>
      <c r="H3" s="17" t="n"/>
      <c r="I3" s="18" t="n">
        <v>0.9</v>
      </c>
      <c r="J3" s="19">
        <f>IF(H3="","",IF(H3&gt;=I3,"CUMPLE","NO CUMPLE"))</f>
        <v/>
      </c>
      <c r="K3" s="17" t="n"/>
      <c r="L3" s="18" t="n">
        <v>0.8</v>
      </c>
      <c r="M3" s="19">
        <f>IF(K3="","",IF(K3&gt;=L3,"CUMPLE","NO CUMPLE"))</f>
        <v/>
      </c>
      <c r="N3" s="17" t="n"/>
      <c r="O3" s="18" t="n">
        <v>0.98</v>
      </c>
      <c r="P3" s="19">
        <f>IF(N3="","",IF(N3&gt;=O3,"CUMPLE","NO CUMPLE"))</f>
        <v/>
      </c>
      <c r="Q3" s="17" t="n"/>
      <c r="R3" s="18" t="n">
        <v>0.9</v>
      </c>
      <c r="S3" s="19">
        <f>IF(Q3="","",IF(Q3&gt;=R3,"CUMPLE","NO CUMPLE"))</f>
        <v/>
      </c>
      <c r="T3" s="20" t="n"/>
      <c r="U3" s="21" t="n">
        <v>410</v>
      </c>
      <c r="V3" s="19">
        <f>IF(T3="","",IF(T3&lt;=U3,"CUMPLE","NO CUMPLE"))</f>
        <v/>
      </c>
      <c r="W3" s="17" t="n"/>
      <c r="X3" s="18" t="n">
        <v>0.05</v>
      </c>
      <c r="Y3" s="19">
        <f>IF(W3="","",IF(W3&lt;=X3,"CUMPLE","NO CUMPLE"))</f>
        <v/>
      </c>
      <c r="Z3" s="17" t="n"/>
      <c r="AA3" s="18" t="n">
        <v>0.03</v>
      </c>
      <c r="AB3" s="19">
        <f>IF(Z3="","",IF(Z3&lt;=AA3,"CUMPLE","NO CUMPLE"))</f>
        <v/>
      </c>
      <c r="AC3" s="17" t="n"/>
      <c r="AD3" s="18" t="n">
        <v>0.02</v>
      </c>
      <c r="AE3" s="19">
        <f>IF(AC3="","",IF(AC3&lt;=AD3,"CUMPLE","NO CUMPLE"))</f>
        <v/>
      </c>
      <c r="AF3" s="17" t="n"/>
      <c r="AG3" s="18" t="n">
        <v>0.05</v>
      </c>
      <c r="AH3" s="19">
        <f>IF(AF3="","",IF(AF3&lt;=AG3,"CUMPLE","NO CUMPLE"))</f>
        <v/>
      </c>
      <c r="AI3" s="22" t="n"/>
      <c r="AJ3" s="22" t="n"/>
    </row>
    <row r="4">
      <c r="A4" s="13" t="inlineStr">
        <is>
          <t>1073694313</t>
        </is>
      </c>
      <c r="B4" s="14" t="inlineStr">
        <is>
          <t>CANTOR MARTINEZ ACENED ESTEFFANIA</t>
        </is>
      </c>
      <c r="C4" s="15" t="inlineStr"/>
      <c r="D4" s="16" t="inlineStr">
        <is>
          <t>FONSECA GONZALEZ DAVID ALEXANDER</t>
        </is>
      </c>
      <c r="E4" s="17" t="n"/>
      <c r="F4" s="23" t="n">
        <v>0.95</v>
      </c>
      <c r="G4" s="19">
        <f>IF(E4="","",IF(E4&gt;=F4,"CUMPLE","NO CUMPLE"))</f>
        <v/>
      </c>
      <c r="H4" s="17" t="n"/>
      <c r="I4" s="23" t="n">
        <v>0.9</v>
      </c>
      <c r="J4" s="19">
        <f>IF(H4="","",IF(H4&gt;=I4,"CUMPLE","NO CUMPLE"))</f>
        <v/>
      </c>
      <c r="K4" s="17" t="n"/>
      <c r="L4" s="23" t="n">
        <v>0.8</v>
      </c>
      <c r="M4" s="19">
        <f>IF(K4="","",IF(K4&gt;=L4,"CUMPLE","NO CUMPLE"))</f>
        <v/>
      </c>
      <c r="N4" s="17" t="n"/>
      <c r="O4" s="23" t="n">
        <v>0.98</v>
      </c>
      <c r="P4" s="19">
        <f>IF(N4="","",IF(N4&gt;=O4,"CUMPLE","NO CUMPLE"))</f>
        <v/>
      </c>
      <c r="Q4" s="17" t="n"/>
      <c r="R4" s="23" t="n">
        <v>0.9</v>
      </c>
      <c r="S4" s="19">
        <f>IF(Q4="","",IF(Q4&gt;=R4,"CUMPLE","NO CUMPLE"))</f>
        <v/>
      </c>
      <c r="T4" s="20" t="n"/>
      <c r="U4" s="24" t="n">
        <v>410</v>
      </c>
      <c r="V4" s="19">
        <f>IF(T4="","",IF(T4&lt;=U4,"CUMPLE","NO CUMPLE"))</f>
        <v/>
      </c>
      <c r="W4" s="17" t="n"/>
      <c r="X4" s="23" t="n">
        <v>0.05</v>
      </c>
      <c r="Y4" s="19">
        <f>IF(W4="","",IF(W4&lt;=X4,"CUMPLE","NO CUMPLE"))</f>
        <v/>
      </c>
      <c r="Z4" s="17" t="n"/>
      <c r="AA4" s="23" t="n">
        <v>0.03</v>
      </c>
      <c r="AB4" s="19">
        <f>IF(Z4="","",IF(Z4&lt;=AA4,"CUMPLE","NO CUMPLE"))</f>
        <v/>
      </c>
      <c r="AC4" s="17" t="n"/>
      <c r="AD4" s="23" t="n">
        <v>0.02</v>
      </c>
      <c r="AE4" s="19">
        <f>IF(AC4="","",IF(AC4&lt;=AD4,"CUMPLE","NO CUMPLE"))</f>
        <v/>
      </c>
      <c r="AF4" s="17" t="n"/>
      <c r="AG4" s="23" t="n">
        <v>0.05</v>
      </c>
      <c r="AH4" s="19">
        <f>IF(AF4="","",IF(AF4&lt;=AG4,"CUMPLE","NO CUMPLE"))</f>
        <v/>
      </c>
      <c r="AI4" s="22" t="n"/>
      <c r="AJ4" s="22" t="n"/>
    </row>
    <row r="5">
      <c r="A5" s="13" t="inlineStr">
        <is>
          <t>52463960</t>
        </is>
      </c>
      <c r="B5" s="14" t="inlineStr">
        <is>
          <t>CASILIMAS PINZON JENNY LILIANA</t>
        </is>
      </c>
      <c r="C5" s="15" t="inlineStr">
        <is>
          <t>INBOUND</t>
        </is>
      </c>
      <c r="D5" s="16" t="inlineStr">
        <is>
          <t>FONSECA GONZALEZ DAVID ALEXANDER</t>
        </is>
      </c>
      <c r="E5" s="17" t="n"/>
      <c r="F5" s="18" t="n">
        <v>0.95</v>
      </c>
      <c r="G5" s="19">
        <f>IF(E5="","",IF(E5&gt;=F5,"CUMPLE","NO CUMPLE"))</f>
        <v/>
      </c>
      <c r="H5" s="17" t="n"/>
      <c r="I5" s="18" t="n">
        <v>0.9</v>
      </c>
      <c r="J5" s="19">
        <f>IF(H5="","",IF(H5&gt;=I5,"CUMPLE","NO CUMPLE"))</f>
        <v/>
      </c>
      <c r="K5" s="17" t="n"/>
      <c r="L5" s="18" t="n">
        <v>0.8</v>
      </c>
      <c r="M5" s="19">
        <f>IF(K5="","",IF(K5&gt;=L5,"CUMPLE","NO CUMPLE"))</f>
        <v/>
      </c>
      <c r="N5" s="17" t="n"/>
      <c r="O5" s="18" t="n">
        <v>0.98</v>
      </c>
      <c r="P5" s="19">
        <f>IF(N5="","",IF(N5&gt;=O5,"CUMPLE","NO CUMPLE"))</f>
        <v/>
      </c>
      <c r="Q5" s="17" t="n"/>
      <c r="R5" s="18" t="n">
        <v>0.9</v>
      </c>
      <c r="S5" s="19">
        <f>IF(Q5="","",IF(Q5&gt;=R5,"CUMPLE","NO CUMPLE"))</f>
        <v/>
      </c>
      <c r="T5" s="20" t="n"/>
      <c r="U5" s="21" t="n">
        <v>410</v>
      </c>
      <c r="V5" s="19">
        <f>IF(T5="","",IF(T5&lt;=U5,"CUMPLE","NO CUMPLE"))</f>
        <v/>
      </c>
      <c r="W5" s="17" t="n"/>
      <c r="X5" s="18" t="n">
        <v>0.05</v>
      </c>
      <c r="Y5" s="19">
        <f>IF(W5="","",IF(W5&lt;=X5,"CUMPLE","NO CUMPLE"))</f>
        <v/>
      </c>
      <c r="Z5" s="17" t="n"/>
      <c r="AA5" s="18" t="n">
        <v>0.03</v>
      </c>
      <c r="AB5" s="19">
        <f>IF(Z5="","",IF(Z5&lt;=AA5,"CUMPLE","NO CUMPLE"))</f>
        <v/>
      </c>
      <c r="AC5" s="17" t="n"/>
      <c r="AD5" s="18" t="n">
        <v>0.02</v>
      </c>
      <c r="AE5" s="19">
        <f>IF(AC5="","",IF(AC5&lt;=AD5,"CUMPLE","NO CUMPLE"))</f>
        <v/>
      </c>
      <c r="AF5" s="17" t="n"/>
      <c r="AG5" s="18" t="n">
        <v>0.05</v>
      </c>
      <c r="AH5" s="19">
        <f>IF(AF5="","",IF(AF5&lt;=AG5,"CUMPLE","NO CUMPLE"))</f>
        <v/>
      </c>
      <c r="AI5" s="22" t="n"/>
      <c r="AJ5" s="22" t="n"/>
    </row>
    <row r="6">
      <c r="A6" s="13" t="inlineStr">
        <is>
          <t>53136285</t>
        </is>
      </c>
      <c r="B6" s="14" t="inlineStr">
        <is>
          <t>CIFUENTES CAMPOS MARIA AURORA</t>
        </is>
      </c>
      <c r="C6" s="15" t="inlineStr">
        <is>
          <t>INBOUND</t>
        </is>
      </c>
      <c r="D6" s="16" t="inlineStr">
        <is>
          <t>FONSECA GONZALEZ DAVID ALEXANDER</t>
        </is>
      </c>
      <c r="E6" s="17" t="n"/>
      <c r="F6" s="23" t="n">
        <v>0.95</v>
      </c>
      <c r="G6" s="19">
        <f>IF(E6="","",IF(E6&gt;=F6,"CUMPLE","NO CUMPLE"))</f>
        <v/>
      </c>
      <c r="H6" s="17" t="n"/>
      <c r="I6" s="23" t="n">
        <v>0.9</v>
      </c>
      <c r="J6" s="19">
        <f>IF(H6="","",IF(H6&gt;=I6,"CUMPLE","NO CUMPLE"))</f>
        <v/>
      </c>
      <c r="K6" s="17" t="n"/>
      <c r="L6" s="23" t="n">
        <v>0.8</v>
      </c>
      <c r="M6" s="19">
        <f>IF(K6="","",IF(K6&gt;=L6,"CUMPLE","NO CUMPLE"))</f>
        <v/>
      </c>
      <c r="N6" s="17" t="n"/>
      <c r="O6" s="23" t="n">
        <v>0.98</v>
      </c>
      <c r="P6" s="19">
        <f>IF(N6="","",IF(N6&gt;=O6,"CUMPLE","NO CUMPLE"))</f>
        <v/>
      </c>
      <c r="Q6" s="17" t="n"/>
      <c r="R6" s="23" t="n">
        <v>0.9</v>
      </c>
      <c r="S6" s="19">
        <f>IF(Q6="","",IF(Q6&gt;=R6,"CUMPLE","NO CUMPLE"))</f>
        <v/>
      </c>
      <c r="T6" s="20" t="n"/>
      <c r="U6" s="24" t="n">
        <v>410</v>
      </c>
      <c r="V6" s="19">
        <f>IF(T6="","",IF(T6&lt;=U6,"CUMPLE","NO CUMPLE"))</f>
        <v/>
      </c>
      <c r="W6" s="17" t="n"/>
      <c r="X6" s="23" t="n">
        <v>0.05</v>
      </c>
      <c r="Y6" s="19">
        <f>IF(W6="","",IF(W6&lt;=X6,"CUMPLE","NO CUMPLE"))</f>
        <v/>
      </c>
      <c r="Z6" s="17" t="n"/>
      <c r="AA6" s="23" t="n">
        <v>0.03</v>
      </c>
      <c r="AB6" s="19">
        <f>IF(Z6="","",IF(Z6&lt;=AA6,"CUMPLE","NO CUMPLE"))</f>
        <v/>
      </c>
      <c r="AC6" s="17" t="n"/>
      <c r="AD6" s="23" t="n">
        <v>0.02</v>
      </c>
      <c r="AE6" s="19">
        <f>IF(AC6="","",IF(AC6&lt;=AD6,"CUMPLE","NO CUMPLE"))</f>
        <v/>
      </c>
      <c r="AF6" s="17" t="n"/>
      <c r="AG6" s="23" t="n">
        <v>0.05</v>
      </c>
      <c r="AH6" s="19">
        <f>IF(AF6="","",IF(AF6&lt;=AG6,"CUMPLE","NO CUMPLE"))</f>
        <v/>
      </c>
      <c r="AI6" s="22" t="n"/>
      <c r="AJ6" s="22" t="n"/>
    </row>
    <row r="7">
      <c r="A7" s="13" t="inlineStr">
        <is>
          <t>1030597570</t>
        </is>
      </c>
      <c r="B7" s="14" t="inlineStr">
        <is>
          <t>COLORADO GAITAN JONATHAN ALEXANDER</t>
        </is>
      </c>
      <c r="C7" s="15" t="inlineStr">
        <is>
          <t>INBOUND</t>
        </is>
      </c>
      <c r="D7" s="16" t="inlineStr">
        <is>
          <t>FONSECA GONZALEZ DAVID ALEXANDER</t>
        </is>
      </c>
      <c r="E7" s="17" t="n"/>
      <c r="F7" s="18" t="n">
        <v>0.95</v>
      </c>
      <c r="G7" s="19">
        <f>IF(E7="","",IF(E7&gt;=F7,"CUMPLE","NO CUMPLE"))</f>
        <v/>
      </c>
      <c r="H7" s="17" t="n"/>
      <c r="I7" s="18" t="n">
        <v>0.9</v>
      </c>
      <c r="J7" s="19">
        <f>IF(H7="","",IF(H7&gt;=I7,"CUMPLE","NO CUMPLE"))</f>
        <v/>
      </c>
      <c r="K7" s="17" t="n"/>
      <c r="L7" s="18" t="n">
        <v>0.8</v>
      </c>
      <c r="M7" s="19">
        <f>IF(K7="","",IF(K7&gt;=L7,"CUMPLE","NO CUMPLE"))</f>
        <v/>
      </c>
      <c r="N7" s="17" t="n"/>
      <c r="O7" s="18" t="n">
        <v>0.98</v>
      </c>
      <c r="P7" s="19">
        <f>IF(N7="","",IF(N7&gt;=O7,"CUMPLE","NO CUMPLE"))</f>
        <v/>
      </c>
      <c r="Q7" s="17" t="n"/>
      <c r="R7" s="18" t="n">
        <v>0.9</v>
      </c>
      <c r="S7" s="19">
        <f>IF(Q7="","",IF(Q7&gt;=R7,"CUMPLE","NO CUMPLE"))</f>
        <v/>
      </c>
      <c r="T7" s="20" t="n"/>
      <c r="U7" s="21" t="n">
        <v>410</v>
      </c>
      <c r="V7" s="19">
        <f>IF(T7="","",IF(T7&lt;=U7,"CUMPLE","NO CUMPLE"))</f>
        <v/>
      </c>
      <c r="W7" s="17" t="n"/>
      <c r="X7" s="18" t="n">
        <v>0.05</v>
      </c>
      <c r="Y7" s="19">
        <f>IF(W7="","",IF(W7&lt;=X7,"CUMPLE","NO CUMPLE"))</f>
        <v/>
      </c>
      <c r="Z7" s="17" t="n"/>
      <c r="AA7" s="18" t="n">
        <v>0.03</v>
      </c>
      <c r="AB7" s="19">
        <f>IF(Z7="","",IF(Z7&lt;=AA7,"CUMPLE","NO CUMPLE"))</f>
        <v/>
      </c>
      <c r="AC7" s="17" t="n"/>
      <c r="AD7" s="18" t="n">
        <v>0.02</v>
      </c>
      <c r="AE7" s="19">
        <f>IF(AC7="","",IF(AC7&lt;=AD7,"CUMPLE","NO CUMPLE"))</f>
        <v/>
      </c>
      <c r="AF7" s="17" t="n"/>
      <c r="AG7" s="18" t="n">
        <v>0.05</v>
      </c>
      <c r="AH7" s="19">
        <f>IF(AF7="","",IF(AF7&lt;=AG7,"CUMPLE","NO CUMPLE"))</f>
        <v/>
      </c>
      <c r="AI7" s="22" t="n"/>
      <c r="AJ7" s="22" t="n"/>
    </row>
    <row r="8">
      <c r="A8" s="13" t="inlineStr">
        <is>
          <t>1007158550</t>
        </is>
      </c>
      <c r="B8" s="14" t="inlineStr">
        <is>
          <t>GONZALEZ SARMIENTO LUISA FERNANDA</t>
        </is>
      </c>
      <c r="C8" s="15" t="inlineStr">
        <is>
          <t>INBOUND</t>
        </is>
      </c>
      <c r="D8" s="16" t="inlineStr">
        <is>
          <t>FONSECA GONZALEZ DAVID ALEXANDER</t>
        </is>
      </c>
      <c r="E8" s="17" t="n"/>
      <c r="F8" s="23" t="n">
        <v>0.95</v>
      </c>
      <c r="G8" s="19">
        <f>IF(E8="","",IF(E8&gt;=F8,"CUMPLE","NO CUMPLE"))</f>
        <v/>
      </c>
      <c r="H8" s="17" t="n"/>
      <c r="I8" s="23" t="n">
        <v>0.9</v>
      </c>
      <c r="J8" s="19">
        <f>IF(H8="","",IF(H8&gt;=I8,"CUMPLE","NO CUMPLE"))</f>
        <v/>
      </c>
      <c r="K8" s="17" t="n"/>
      <c r="L8" s="23" t="n">
        <v>0.8</v>
      </c>
      <c r="M8" s="19">
        <f>IF(K8="","",IF(K8&gt;=L8,"CUMPLE","NO CUMPLE"))</f>
        <v/>
      </c>
      <c r="N8" s="17" t="n"/>
      <c r="O8" s="23" t="n">
        <v>0.98</v>
      </c>
      <c r="P8" s="19">
        <f>IF(N8="","",IF(N8&gt;=O8,"CUMPLE","NO CUMPLE"))</f>
        <v/>
      </c>
      <c r="Q8" s="17" t="n"/>
      <c r="R8" s="23" t="n">
        <v>0.9</v>
      </c>
      <c r="S8" s="19">
        <f>IF(Q8="","",IF(Q8&gt;=R8,"CUMPLE","NO CUMPLE"))</f>
        <v/>
      </c>
      <c r="T8" s="20" t="n"/>
      <c r="U8" s="24" t="n">
        <v>410</v>
      </c>
      <c r="V8" s="19">
        <f>IF(T8="","",IF(T8&lt;=U8,"CUMPLE","NO CUMPLE"))</f>
        <v/>
      </c>
      <c r="W8" s="17" t="n"/>
      <c r="X8" s="23" t="n">
        <v>0.05</v>
      </c>
      <c r="Y8" s="19">
        <f>IF(W8="","",IF(W8&lt;=X8,"CUMPLE","NO CUMPLE"))</f>
        <v/>
      </c>
      <c r="Z8" s="17" t="n"/>
      <c r="AA8" s="23" t="n">
        <v>0.03</v>
      </c>
      <c r="AB8" s="19">
        <f>IF(Z8="","",IF(Z8&lt;=AA8,"CUMPLE","NO CUMPLE"))</f>
        <v/>
      </c>
      <c r="AC8" s="17" t="n"/>
      <c r="AD8" s="23" t="n">
        <v>0.02</v>
      </c>
      <c r="AE8" s="19">
        <f>IF(AC8="","",IF(AC8&lt;=AD8,"CUMPLE","NO CUMPLE"))</f>
        <v/>
      </c>
      <c r="AF8" s="17" t="n"/>
      <c r="AG8" s="23" t="n">
        <v>0.05</v>
      </c>
      <c r="AH8" s="19">
        <f>IF(AF8="","",IF(AF8&lt;=AG8,"CUMPLE","NO CUMPLE"))</f>
        <v/>
      </c>
      <c r="AI8" s="22" t="n"/>
      <c r="AJ8" s="22" t="n"/>
    </row>
    <row r="9">
      <c r="A9" s="13" t="inlineStr">
        <is>
          <t>1007101442</t>
        </is>
      </c>
      <c r="B9" s="14" t="inlineStr">
        <is>
          <t>LOPEZ MENDEZ KARENT DANIELA</t>
        </is>
      </c>
      <c r="C9" s="15" t="inlineStr">
        <is>
          <t>INBOUND</t>
        </is>
      </c>
      <c r="D9" s="16" t="inlineStr">
        <is>
          <t>FONSECA GONZALEZ DAVID ALEXANDER</t>
        </is>
      </c>
      <c r="E9" s="17" t="n"/>
      <c r="F9" s="18" t="n">
        <v>0.95</v>
      </c>
      <c r="G9" s="19">
        <f>IF(E9="","",IF(E9&gt;=F9,"CUMPLE","NO CUMPLE"))</f>
        <v/>
      </c>
      <c r="H9" s="17" t="n"/>
      <c r="I9" s="18" t="n">
        <v>0.9</v>
      </c>
      <c r="J9" s="19">
        <f>IF(H9="","",IF(H9&gt;=I9,"CUMPLE","NO CUMPLE"))</f>
        <v/>
      </c>
      <c r="K9" s="17" t="n"/>
      <c r="L9" s="18" t="n">
        <v>0.8</v>
      </c>
      <c r="M9" s="19">
        <f>IF(K9="","",IF(K9&gt;=L9,"CUMPLE","NO CUMPLE"))</f>
        <v/>
      </c>
      <c r="N9" s="17" t="n"/>
      <c r="O9" s="18" t="n">
        <v>0.98</v>
      </c>
      <c r="P9" s="19">
        <f>IF(N9="","",IF(N9&gt;=O9,"CUMPLE","NO CUMPLE"))</f>
        <v/>
      </c>
      <c r="Q9" s="17" t="n"/>
      <c r="R9" s="18" t="n">
        <v>0.9</v>
      </c>
      <c r="S9" s="19">
        <f>IF(Q9="","",IF(Q9&gt;=R9,"CUMPLE","NO CUMPLE"))</f>
        <v/>
      </c>
      <c r="T9" s="20" t="n"/>
      <c r="U9" s="21" t="n">
        <v>410</v>
      </c>
      <c r="V9" s="19">
        <f>IF(T9="","",IF(T9&lt;=U9,"CUMPLE","NO CUMPLE"))</f>
        <v/>
      </c>
      <c r="W9" s="17" t="n"/>
      <c r="X9" s="18" t="n">
        <v>0.05</v>
      </c>
      <c r="Y9" s="19">
        <f>IF(W9="","",IF(W9&lt;=X9,"CUMPLE","NO CUMPLE"))</f>
        <v/>
      </c>
      <c r="Z9" s="17" t="n"/>
      <c r="AA9" s="18" t="n">
        <v>0.03</v>
      </c>
      <c r="AB9" s="19">
        <f>IF(Z9="","",IF(Z9&lt;=AA9,"CUMPLE","NO CUMPLE"))</f>
        <v/>
      </c>
      <c r="AC9" s="17" t="n"/>
      <c r="AD9" s="18" t="n">
        <v>0.02</v>
      </c>
      <c r="AE9" s="19">
        <f>IF(AC9="","",IF(AC9&lt;=AD9,"CUMPLE","NO CUMPLE"))</f>
        <v/>
      </c>
      <c r="AF9" s="17" t="n"/>
      <c r="AG9" s="18" t="n">
        <v>0.05</v>
      </c>
      <c r="AH9" s="19">
        <f>IF(AF9="","",IF(AF9&lt;=AG9,"CUMPLE","NO CUMPLE"))</f>
        <v/>
      </c>
      <c r="AI9" s="22" t="n"/>
      <c r="AJ9" s="22" t="n"/>
    </row>
    <row r="10">
      <c r="A10" s="13" t="inlineStr">
        <is>
          <t>1030548168</t>
        </is>
      </c>
      <c r="B10" s="14" t="inlineStr">
        <is>
          <t>MOJICA ROCHA PAOLA CATERINE</t>
        </is>
      </c>
      <c r="C10" s="15" t="inlineStr">
        <is>
          <t>INBOUND</t>
        </is>
      </c>
      <c r="D10" s="16" t="inlineStr">
        <is>
          <t>FONSECA GONZALEZ DAVID ALEXANDER</t>
        </is>
      </c>
      <c r="E10" s="17" t="n"/>
      <c r="F10" s="23" t="n">
        <v>0.95</v>
      </c>
      <c r="G10" s="19">
        <f>IF(E10="","",IF(E10&gt;=F10,"CUMPLE","NO CUMPLE"))</f>
        <v/>
      </c>
      <c r="H10" s="17" t="n"/>
      <c r="I10" s="23" t="n">
        <v>0.9</v>
      </c>
      <c r="J10" s="19">
        <f>IF(H10="","",IF(H10&gt;=I10,"CUMPLE","NO CUMPLE"))</f>
        <v/>
      </c>
      <c r="K10" s="17" t="n"/>
      <c r="L10" s="23" t="n">
        <v>0.8</v>
      </c>
      <c r="M10" s="19">
        <f>IF(K10="","",IF(K10&gt;=L10,"CUMPLE","NO CUMPLE"))</f>
        <v/>
      </c>
      <c r="N10" s="17" t="n"/>
      <c r="O10" s="23" t="n">
        <v>0.98</v>
      </c>
      <c r="P10" s="19">
        <f>IF(N10="","",IF(N10&gt;=O10,"CUMPLE","NO CUMPLE"))</f>
        <v/>
      </c>
      <c r="Q10" s="17" t="n"/>
      <c r="R10" s="23" t="n">
        <v>0.9</v>
      </c>
      <c r="S10" s="19">
        <f>IF(Q10="","",IF(Q10&gt;=R10,"CUMPLE","NO CUMPLE"))</f>
        <v/>
      </c>
      <c r="T10" s="20" t="n"/>
      <c r="U10" s="24" t="n">
        <v>410</v>
      </c>
      <c r="V10" s="19">
        <f>IF(T10="","",IF(T10&lt;=U10,"CUMPLE","NO CUMPLE"))</f>
        <v/>
      </c>
      <c r="W10" s="17" t="n"/>
      <c r="X10" s="23" t="n">
        <v>0.05</v>
      </c>
      <c r="Y10" s="19">
        <f>IF(W10="","",IF(W10&lt;=X10,"CUMPLE","NO CUMPLE"))</f>
        <v/>
      </c>
      <c r="Z10" s="17" t="n"/>
      <c r="AA10" s="23" t="n">
        <v>0.03</v>
      </c>
      <c r="AB10" s="19">
        <f>IF(Z10="","",IF(Z10&lt;=AA10,"CUMPLE","NO CUMPLE"))</f>
        <v/>
      </c>
      <c r="AC10" s="17" t="n"/>
      <c r="AD10" s="23" t="n">
        <v>0.02</v>
      </c>
      <c r="AE10" s="19">
        <f>IF(AC10="","",IF(AC10&lt;=AD10,"CUMPLE","NO CUMPLE"))</f>
        <v/>
      </c>
      <c r="AF10" s="17" t="n"/>
      <c r="AG10" s="23" t="n">
        <v>0.05</v>
      </c>
      <c r="AH10" s="19">
        <f>IF(AF10="","",IF(AF10&lt;=AG10,"CUMPLE","NO CUMPLE"))</f>
        <v/>
      </c>
      <c r="AI10" s="22" t="n"/>
      <c r="AJ10" s="22" t="n"/>
    </row>
    <row r="11">
      <c r="A11" s="13" t="inlineStr">
        <is>
          <t>1020816999</t>
        </is>
      </c>
      <c r="B11" s="14" t="inlineStr">
        <is>
          <t>PEÑA ROMERO SEBASTIAN</t>
        </is>
      </c>
      <c r="C11" s="15" t="inlineStr">
        <is>
          <t>INBOUND</t>
        </is>
      </c>
      <c r="D11" s="16" t="inlineStr">
        <is>
          <t>FONSECA GONZALEZ DAVID ALEXANDER</t>
        </is>
      </c>
      <c r="E11" s="17" t="n"/>
      <c r="F11" s="18" t="n">
        <v>0.95</v>
      </c>
      <c r="G11" s="19">
        <f>IF(E11="","",IF(E11&gt;=F11,"CUMPLE","NO CUMPLE"))</f>
        <v/>
      </c>
      <c r="H11" s="17" t="n"/>
      <c r="I11" s="18" t="n">
        <v>0.9</v>
      </c>
      <c r="J11" s="19">
        <f>IF(H11="","",IF(H11&gt;=I11,"CUMPLE","NO CUMPLE"))</f>
        <v/>
      </c>
      <c r="K11" s="17" t="n"/>
      <c r="L11" s="18" t="n">
        <v>0.8</v>
      </c>
      <c r="M11" s="19">
        <f>IF(K11="","",IF(K11&gt;=L11,"CUMPLE","NO CUMPLE"))</f>
        <v/>
      </c>
      <c r="N11" s="17" t="n"/>
      <c r="O11" s="18" t="n">
        <v>0.98</v>
      </c>
      <c r="P11" s="19">
        <f>IF(N11="","",IF(N11&gt;=O11,"CUMPLE","NO CUMPLE"))</f>
        <v/>
      </c>
      <c r="Q11" s="17" t="n"/>
      <c r="R11" s="18" t="n">
        <v>0.9</v>
      </c>
      <c r="S11" s="19">
        <f>IF(Q11="","",IF(Q11&gt;=R11,"CUMPLE","NO CUMPLE"))</f>
        <v/>
      </c>
      <c r="T11" s="20" t="n"/>
      <c r="U11" s="21" t="n">
        <v>410</v>
      </c>
      <c r="V11" s="19">
        <f>IF(T11="","",IF(T11&lt;=U11,"CUMPLE","NO CUMPLE"))</f>
        <v/>
      </c>
      <c r="W11" s="17" t="n"/>
      <c r="X11" s="18" t="n">
        <v>0.05</v>
      </c>
      <c r="Y11" s="19">
        <f>IF(W11="","",IF(W11&lt;=X11,"CUMPLE","NO CUMPLE"))</f>
        <v/>
      </c>
      <c r="Z11" s="17" t="n"/>
      <c r="AA11" s="18" t="n">
        <v>0.03</v>
      </c>
      <c r="AB11" s="19">
        <f>IF(Z11="","",IF(Z11&lt;=AA11,"CUMPLE","NO CUMPLE"))</f>
        <v/>
      </c>
      <c r="AC11" s="17" t="n"/>
      <c r="AD11" s="18" t="n">
        <v>0.02</v>
      </c>
      <c r="AE11" s="19">
        <f>IF(AC11="","",IF(AC11&lt;=AD11,"CUMPLE","NO CUMPLE"))</f>
        <v/>
      </c>
      <c r="AF11" s="17" t="n"/>
      <c r="AG11" s="18" t="n">
        <v>0.05</v>
      </c>
      <c r="AH11" s="19">
        <f>IF(AF11="","",IF(AF11&lt;=AG11,"CUMPLE","NO CUMPLE"))</f>
        <v/>
      </c>
      <c r="AI11" s="22" t="n"/>
      <c r="AJ11" s="22" t="n"/>
    </row>
    <row r="12">
      <c r="A12" s="13" t="inlineStr">
        <is>
          <t>1003656223</t>
        </is>
      </c>
      <c r="B12" s="14" t="inlineStr">
        <is>
          <t>PEÑATA REYES JHON JAIRO</t>
        </is>
      </c>
      <c r="C12" s="15" t="inlineStr"/>
      <c r="D12" s="16" t="inlineStr">
        <is>
          <t>FONSECA GONZALEZ DAVID ALEXANDER</t>
        </is>
      </c>
      <c r="E12" s="17" t="n"/>
      <c r="F12" s="23" t="n">
        <v>0.95</v>
      </c>
      <c r="G12" s="19">
        <f>IF(E12="","",IF(E12&gt;=F12,"CUMPLE","NO CUMPLE"))</f>
        <v/>
      </c>
      <c r="H12" s="17" t="n"/>
      <c r="I12" s="23" t="n">
        <v>0.9</v>
      </c>
      <c r="J12" s="19">
        <f>IF(H12="","",IF(H12&gt;=I12,"CUMPLE","NO CUMPLE"))</f>
        <v/>
      </c>
      <c r="K12" s="17" t="n"/>
      <c r="L12" s="23" t="n">
        <v>0.8</v>
      </c>
      <c r="M12" s="19">
        <f>IF(K12="","",IF(K12&gt;=L12,"CUMPLE","NO CUMPLE"))</f>
        <v/>
      </c>
      <c r="N12" s="17" t="n"/>
      <c r="O12" s="23" t="n">
        <v>0.98</v>
      </c>
      <c r="P12" s="19">
        <f>IF(N12="","",IF(N12&gt;=O12,"CUMPLE","NO CUMPLE"))</f>
        <v/>
      </c>
      <c r="Q12" s="17" t="n"/>
      <c r="R12" s="23" t="n">
        <v>0.9</v>
      </c>
      <c r="S12" s="19">
        <f>IF(Q12="","",IF(Q12&gt;=R12,"CUMPLE","NO CUMPLE"))</f>
        <v/>
      </c>
      <c r="T12" s="20" t="n"/>
      <c r="U12" s="24" t="n">
        <v>410</v>
      </c>
      <c r="V12" s="19">
        <f>IF(T12="","",IF(T12&lt;=U12,"CUMPLE","NO CUMPLE"))</f>
        <v/>
      </c>
      <c r="W12" s="17" t="n"/>
      <c r="X12" s="23" t="n">
        <v>0.05</v>
      </c>
      <c r="Y12" s="19">
        <f>IF(W12="","",IF(W12&lt;=X12,"CUMPLE","NO CUMPLE"))</f>
        <v/>
      </c>
      <c r="Z12" s="17" t="n"/>
      <c r="AA12" s="23" t="n">
        <v>0.03</v>
      </c>
      <c r="AB12" s="19">
        <f>IF(Z12="","",IF(Z12&lt;=AA12,"CUMPLE","NO CUMPLE"))</f>
        <v/>
      </c>
      <c r="AC12" s="17" t="n"/>
      <c r="AD12" s="23" t="n">
        <v>0.02</v>
      </c>
      <c r="AE12" s="19">
        <f>IF(AC12="","",IF(AC12&lt;=AD12,"CUMPLE","NO CUMPLE"))</f>
        <v/>
      </c>
      <c r="AF12" s="17" t="n"/>
      <c r="AG12" s="23" t="n">
        <v>0.05</v>
      </c>
      <c r="AH12" s="19">
        <f>IF(AF12="","",IF(AF12&lt;=AG12,"CUMPLE","NO CUMPLE"))</f>
        <v/>
      </c>
      <c r="AI12" s="22" t="n"/>
      <c r="AJ12" s="22" t="n"/>
    </row>
    <row r="13">
      <c r="A13" s="13" t="inlineStr">
        <is>
          <t>1001091502</t>
        </is>
      </c>
      <c r="B13" s="14" t="inlineStr">
        <is>
          <t>PINEDA SANCHEZ ERIKA ALEXANDRA</t>
        </is>
      </c>
      <c r="C13" s="15" t="inlineStr">
        <is>
          <t>INBOUND</t>
        </is>
      </c>
      <c r="D13" s="16" t="inlineStr">
        <is>
          <t>FONSECA GONZALEZ DAVID ALEXANDER</t>
        </is>
      </c>
      <c r="E13" s="17" t="n"/>
      <c r="F13" s="18" t="n">
        <v>0.95</v>
      </c>
      <c r="G13" s="19">
        <f>IF(E13="","",IF(E13&gt;=F13,"CUMPLE","NO CUMPLE"))</f>
        <v/>
      </c>
      <c r="H13" s="17" t="n"/>
      <c r="I13" s="18" t="n">
        <v>0.9</v>
      </c>
      <c r="J13" s="19">
        <f>IF(H13="","",IF(H13&gt;=I13,"CUMPLE","NO CUMPLE"))</f>
        <v/>
      </c>
      <c r="K13" s="17" t="n"/>
      <c r="L13" s="18" t="n">
        <v>0.8</v>
      </c>
      <c r="M13" s="19">
        <f>IF(K13="","",IF(K13&gt;=L13,"CUMPLE","NO CUMPLE"))</f>
        <v/>
      </c>
      <c r="N13" s="17" t="n"/>
      <c r="O13" s="18" t="n">
        <v>0.98</v>
      </c>
      <c r="P13" s="19">
        <f>IF(N13="","",IF(N13&gt;=O13,"CUMPLE","NO CUMPLE"))</f>
        <v/>
      </c>
      <c r="Q13" s="17" t="n"/>
      <c r="R13" s="18" t="n">
        <v>0.9</v>
      </c>
      <c r="S13" s="19">
        <f>IF(Q13="","",IF(Q13&gt;=R13,"CUMPLE","NO CUMPLE"))</f>
        <v/>
      </c>
      <c r="T13" s="20" t="n"/>
      <c r="U13" s="21" t="n">
        <v>410</v>
      </c>
      <c r="V13" s="19">
        <f>IF(T13="","",IF(T13&lt;=U13,"CUMPLE","NO CUMPLE"))</f>
        <v/>
      </c>
      <c r="W13" s="17" t="n"/>
      <c r="X13" s="18" t="n">
        <v>0.05</v>
      </c>
      <c r="Y13" s="19">
        <f>IF(W13="","",IF(W13&lt;=X13,"CUMPLE","NO CUMPLE"))</f>
        <v/>
      </c>
      <c r="Z13" s="17" t="n"/>
      <c r="AA13" s="18" t="n">
        <v>0.03</v>
      </c>
      <c r="AB13" s="19">
        <f>IF(Z13="","",IF(Z13&lt;=AA13,"CUMPLE","NO CUMPLE"))</f>
        <v/>
      </c>
      <c r="AC13" s="17" t="n"/>
      <c r="AD13" s="18" t="n">
        <v>0.02</v>
      </c>
      <c r="AE13" s="19">
        <f>IF(AC13="","",IF(AC13&lt;=AD13,"CUMPLE","NO CUMPLE"))</f>
        <v/>
      </c>
      <c r="AF13" s="17" t="n"/>
      <c r="AG13" s="18" t="n">
        <v>0.05</v>
      </c>
      <c r="AH13" s="19">
        <f>IF(AF13="","",IF(AF13&lt;=AG13,"CUMPLE","NO CUMPLE"))</f>
        <v/>
      </c>
      <c r="AI13" s="22" t="n"/>
      <c r="AJ13" s="22" t="n"/>
    </row>
    <row r="14">
      <c r="A14" s="13" t="inlineStr">
        <is>
          <t>1012438650</t>
        </is>
      </c>
      <c r="B14" s="14" t="inlineStr">
        <is>
          <t>QUEVEDO ROMERO YURY YINETH</t>
        </is>
      </c>
      <c r="C14" s="15" t="inlineStr"/>
      <c r="D14" s="16" t="inlineStr">
        <is>
          <t>FONSECA GONZALEZ DAVID ALEXANDER</t>
        </is>
      </c>
      <c r="E14" s="17" t="n"/>
      <c r="F14" s="23" t="n">
        <v>0.95</v>
      </c>
      <c r="G14" s="19">
        <f>IF(E14="","",IF(E14&gt;=F14,"CUMPLE","NO CUMPLE"))</f>
        <v/>
      </c>
      <c r="H14" s="17" t="n"/>
      <c r="I14" s="23" t="n">
        <v>0.9</v>
      </c>
      <c r="J14" s="19">
        <f>IF(H14="","",IF(H14&gt;=I14,"CUMPLE","NO CUMPLE"))</f>
        <v/>
      </c>
      <c r="K14" s="17" t="n"/>
      <c r="L14" s="23" t="n">
        <v>0.8</v>
      </c>
      <c r="M14" s="19">
        <f>IF(K14="","",IF(K14&gt;=L14,"CUMPLE","NO CUMPLE"))</f>
        <v/>
      </c>
      <c r="N14" s="17" t="n"/>
      <c r="O14" s="23" t="n">
        <v>0.98</v>
      </c>
      <c r="P14" s="19">
        <f>IF(N14="","",IF(N14&gt;=O14,"CUMPLE","NO CUMPLE"))</f>
        <v/>
      </c>
      <c r="Q14" s="17" t="n"/>
      <c r="R14" s="23" t="n">
        <v>0.9</v>
      </c>
      <c r="S14" s="19">
        <f>IF(Q14="","",IF(Q14&gt;=R14,"CUMPLE","NO CUMPLE"))</f>
        <v/>
      </c>
      <c r="T14" s="20" t="n"/>
      <c r="U14" s="24" t="n">
        <v>410</v>
      </c>
      <c r="V14" s="19">
        <f>IF(T14="","",IF(T14&lt;=U14,"CUMPLE","NO CUMPLE"))</f>
        <v/>
      </c>
      <c r="W14" s="17" t="n"/>
      <c r="X14" s="23" t="n">
        <v>0.05</v>
      </c>
      <c r="Y14" s="19">
        <f>IF(W14="","",IF(W14&lt;=X14,"CUMPLE","NO CUMPLE"))</f>
        <v/>
      </c>
      <c r="Z14" s="17" t="n"/>
      <c r="AA14" s="23" t="n">
        <v>0.03</v>
      </c>
      <c r="AB14" s="19">
        <f>IF(Z14="","",IF(Z14&lt;=AA14,"CUMPLE","NO CUMPLE"))</f>
        <v/>
      </c>
      <c r="AC14" s="17" t="n"/>
      <c r="AD14" s="23" t="n">
        <v>0.02</v>
      </c>
      <c r="AE14" s="19">
        <f>IF(AC14="","",IF(AC14&lt;=AD14,"CUMPLE","NO CUMPLE"))</f>
        <v/>
      </c>
      <c r="AF14" s="17" t="n"/>
      <c r="AG14" s="23" t="n">
        <v>0.05</v>
      </c>
      <c r="AH14" s="19">
        <f>IF(AF14="","",IF(AF14&lt;=AG14,"CUMPLE","NO CUMPLE"))</f>
        <v/>
      </c>
      <c r="AI14" s="22" t="n"/>
      <c r="AJ14" s="22" t="n"/>
    </row>
    <row r="15">
      <c r="A15" s="13" t="inlineStr">
        <is>
          <t>1011321174</t>
        </is>
      </c>
      <c r="B15" s="14" t="inlineStr">
        <is>
          <t>RENGIFO ARREDONDO SOFIA</t>
        </is>
      </c>
      <c r="C15" s="15" t="inlineStr">
        <is>
          <t>INBOUND</t>
        </is>
      </c>
      <c r="D15" s="16" t="inlineStr">
        <is>
          <t>FONSECA GONZALEZ DAVID ALEXANDER</t>
        </is>
      </c>
      <c r="E15" s="17" t="n"/>
      <c r="F15" s="18" t="n">
        <v>0.95</v>
      </c>
      <c r="G15" s="19">
        <f>IF(E15="","",IF(E15&gt;=F15,"CUMPLE","NO CUMPLE"))</f>
        <v/>
      </c>
      <c r="H15" s="17" t="n"/>
      <c r="I15" s="18" t="n">
        <v>0.9</v>
      </c>
      <c r="J15" s="19">
        <f>IF(H15="","",IF(H15&gt;=I15,"CUMPLE","NO CUMPLE"))</f>
        <v/>
      </c>
      <c r="K15" s="17" t="n"/>
      <c r="L15" s="18" t="n">
        <v>0.8</v>
      </c>
      <c r="M15" s="19">
        <f>IF(K15="","",IF(K15&gt;=L15,"CUMPLE","NO CUMPLE"))</f>
        <v/>
      </c>
      <c r="N15" s="17" t="n"/>
      <c r="O15" s="18" t="n">
        <v>0.98</v>
      </c>
      <c r="P15" s="19">
        <f>IF(N15="","",IF(N15&gt;=O15,"CUMPLE","NO CUMPLE"))</f>
        <v/>
      </c>
      <c r="Q15" s="17" t="n"/>
      <c r="R15" s="18" t="n">
        <v>0.9</v>
      </c>
      <c r="S15" s="19">
        <f>IF(Q15="","",IF(Q15&gt;=R15,"CUMPLE","NO CUMPLE"))</f>
        <v/>
      </c>
      <c r="T15" s="20" t="n"/>
      <c r="U15" s="21" t="n">
        <v>410</v>
      </c>
      <c r="V15" s="19">
        <f>IF(T15="","",IF(T15&lt;=U15,"CUMPLE","NO CUMPLE"))</f>
        <v/>
      </c>
      <c r="W15" s="17" t="n"/>
      <c r="X15" s="18" t="n">
        <v>0.05</v>
      </c>
      <c r="Y15" s="19">
        <f>IF(W15="","",IF(W15&lt;=X15,"CUMPLE","NO CUMPLE"))</f>
        <v/>
      </c>
      <c r="Z15" s="17" t="n"/>
      <c r="AA15" s="18" t="n">
        <v>0.03</v>
      </c>
      <c r="AB15" s="19">
        <f>IF(Z15="","",IF(Z15&lt;=AA15,"CUMPLE","NO CUMPLE"))</f>
        <v/>
      </c>
      <c r="AC15" s="17" t="n"/>
      <c r="AD15" s="18" t="n">
        <v>0.02</v>
      </c>
      <c r="AE15" s="19">
        <f>IF(AC15="","",IF(AC15&lt;=AD15,"CUMPLE","NO CUMPLE"))</f>
        <v/>
      </c>
      <c r="AF15" s="17" t="n"/>
      <c r="AG15" s="18" t="n">
        <v>0.05</v>
      </c>
      <c r="AH15" s="19">
        <f>IF(AF15="","",IF(AF15&lt;=AG15,"CUMPLE","NO CUMPLE"))</f>
        <v/>
      </c>
      <c r="AI15" s="22" t="n"/>
      <c r="AJ15" s="22" t="n"/>
    </row>
    <row r="16">
      <c r="A16" s="13" t="inlineStr">
        <is>
          <t>1001050371</t>
        </is>
      </c>
      <c r="B16" s="14" t="inlineStr">
        <is>
          <t>TORRES CORREDOR LAURA</t>
        </is>
      </c>
      <c r="C16" s="15" t="inlineStr">
        <is>
          <t>INBOUND</t>
        </is>
      </c>
      <c r="D16" s="16" t="inlineStr">
        <is>
          <t>FONSECA GONZALEZ DAVID ALEXANDER</t>
        </is>
      </c>
      <c r="E16" s="17" t="n"/>
      <c r="F16" s="23" t="n">
        <v>0.95</v>
      </c>
      <c r="G16" s="19">
        <f>IF(E16="","",IF(E16&gt;=F16,"CUMPLE","NO CUMPLE"))</f>
        <v/>
      </c>
      <c r="H16" s="17" t="n"/>
      <c r="I16" s="23" t="n">
        <v>0.9</v>
      </c>
      <c r="J16" s="19">
        <f>IF(H16="","",IF(H16&gt;=I16,"CUMPLE","NO CUMPLE"))</f>
        <v/>
      </c>
      <c r="K16" s="17" t="n"/>
      <c r="L16" s="23" t="n">
        <v>0.8</v>
      </c>
      <c r="M16" s="19">
        <f>IF(K16="","",IF(K16&gt;=L16,"CUMPLE","NO CUMPLE"))</f>
        <v/>
      </c>
      <c r="N16" s="17" t="n"/>
      <c r="O16" s="23" t="n">
        <v>0.98</v>
      </c>
      <c r="P16" s="19">
        <f>IF(N16="","",IF(N16&gt;=O16,"CUMPLE","NO CUMPLE"))</f>
        <v/>
      </c>
      <c r="Q16" s="17" t="n"/>
      <c r="R16" s="23" t="n">
        <v>0.9</v>
      </c>
      <c r="S16" s="19">
        <f>IF(Q16="","",IF(Q16&gt;=R16,"CUMPLE","NO CUMPLE"))</f>
        <v/>
      </c>
      <c r="T16" s="20" t="n"/>
      <c r="U16" s="24" t="n">
        <v>410</v>
      </c>
      <c r="V16" s="19">
        <f>IF(T16="","",IF(T16&lt;=U16,"CUMPLE","NO CUMPLE"))</f>
        <v/>
      </c>
      <c r="W16" s="17" t="n"/>
      <c r="X16" s="23" t="n">
        <v>0.05</v>
      </c>
      <c r="Y16" s="19">
        <f>IF(W16="","",IF(W16&lt;=X16,"CUMPLE","NO CUMPLE"))</f>
        <v/>
      </c>
      <c r="Z16" s="17" t="n"/>
      <c r="AA16" s="23" t="n">
        <v>0.03</v>
      </c>
      <c r="AB16" s="19">
        <f>IF(Z16="","",IF(Z16&lt;=AA16,"CUMPLE","NO CUMPLE"))</f>
        <v/>
      </c>
      <c r="AC16" s="17" t="n"/>
      <c r="AD16" s="23" t="n">
        <v>0.02</v>
      </c>
      <c r="AE16" s="19">
        <f>IF(AC16="","",IF(AC16&lt;=AD16,"CUMPLE","NO CUMPLE"))</f>
        <v/>
      </c>
      <c r="AF16" s="17" t="n"/>
      <c r="AG16" s="23" t="n">
        <v>0.05</v>
      </c>
      <c r="AH16" s="19">
        <f>IF(AF16="","",IF(AF16&lt;=AG16,"CUMPLE","NO CUMPLE"))</f>
        <v/>
      </c>
      <c r="AI16" s="22" t="n"/>
      <c r="AJ16" s="22" t="n"/>
    </row>
    <row r="17">
      <c r="A17" s="13" t="inlineStr">
        <is>
          <t>1043141989</t>
        </is>
      </c>
      <c r="B17" s="14" t="inlineStr">
        <is>
          <t>ARZUZA LLERENA KATHLEEN SMITH</t>
        </is>
      </c>
      <c r="C17" s="15" t="inlineStr">
        <is>
          <t>INBOUND</t>
        </is>
      </c>
      <c r="D17" s="16" t="inlineStr">
        <is>
          <t>GOMEZ PEREZ JOSE DANIEL</t>
        </is>
      </c>
      <c r="E17" s="17" t="n"/>
      <c r="F17" s="18" t="n">
        <v>0.95</v>
      </c>
      <c r="G17" s="19">
        <f>IF(E17="","",IF(E17&gt;=F17,"CUMPLE","NO CUMPLE"))</f>
        <v/>
      </c>
      <c r="H17" s="17" t="n"/>
      <c r="I17" s="18" t="n">
        <v>0.9</v>
      </c>
      <c r="J17" s="19">
        <f>IF(H17="","",IF(H17&gt;=I17,"CUMPLE","NO CUMPLE"))</f>
        <v/>
      </c>
      <c r="K17" s="17" t="n"/>
      <c r="L17" s="18" t="n">
        <v>0.8</v>
      </c>
      <c r="M17" s="19">
        <f>IF(K17="","",IF(K17&gt;=L17,"CUMPLE","NO CUMPLE"))</f>
        <v/>
      </c>
      <c r="N17" s="17" t="n"/>
      <c r="O17" s="18" t="n">
        <v>0.98</v>
      </c>
      <c r="P17" s="19">
        <f>IF(N17="","",IF(N17&gt;=O17,"CUMPLE","NO CUMPLE"))</f>
        <v/>
      </c>
      <c r="Q17" s="17" t="n"/>
      <c r="R17" s="18" t="n">
        <v>0.9</v>
      </c>
      <c r="S17" s="19">
        <f>IF(Q17="","",IF(Q17&gt;=R17,"CUMPLE","NO CUMPLE"))</f>
        <v/>
      </c>
      <c r="T17" s="20" t="n"/>
      <c r="U17" s="21" t="n">
        <v>410</v>
      </c>
      <c r="V17" s="19">
        <f>IF(T17="","",IF(T17&lt;=U17,"CUMPLE","NO CUMPLE"))</f>
        <v/>
      </c>
      <c r="W17" s="17" t="n"/>
      <c r="X17" s="18" t="n">
        <v>0.05</v>
      </c>
      <c r="Y17" s="19">
        <f>IF(W17="","",IF(W17&lt;=X17,"CUMPLE","NO CUMPLE"))</f>
        <v/>
      </c>
      <c r="Z17" s="17" t="n"/>
      <c r="AA17" s="18" t="n">
        <v>0.03</v>
      </c>
      <c r="AB17" s="19">
        <f>IF(Z17="","",IF(Z17&lt;=AA17,"CUMPLE","NO CUMPLE"))</f>
        <v/>
      </c>
      <c r="AC17" s="17" t="n"/>
      <c r="AD17" s="18" t="n">
        <v>0.02</v>
      </c>
      <c r="AE17" s="19">
        <f>IF(AC17="","",IF(AC17&lt;=AD17,"CUMPLE","NO CUMPLE"))</f>
        <v/>
      </c>
      <c r="AF17" s="17" t="n"/>
      <c r="AG17" s="18" t="n">
        <v>0.05</v>
      </c>
      <c r="AH17" s="19">
        <f>IF(AF17="","",IF(AF17&lt;=AG17,"CUMPLE","NO CUMPLE"))</f>
        <v/>
      </c>
      <c r="AI17" s="22" t="n"/>
      <c r="AJ17" s="22" t="n"/>
    </row>
    <row r="18">
      <c r="A18" s="13" t="inlineStr">
        <is>
          <t>1233490096</t>
        </is>
      </c>
      <c r="B18" s="14" t="inlineStr">
        <is>
          <t>AVILA BERMEJO ANGELO JACOBO</t>
        </is>
      </c>
      <c r="C18" s="15" t="inlineStr">
        <is>
          <t>INBOUND</t>
        </is>
      </c>
      <c r="D18" s="16" t="inlineStr">
        <is>
          <t>GOMEZ PEREZ JOSE DANIEL</t>
        </is>
      </c>
      <c r="E18" s="17" t="n"/>
      <c r="F18" s="23" t="n">
        <v>0.95</v>
      </c>
      <c r="G18" s="19">
        <f>IF(E18="","",IF(E18&gt;=F18,"CUMPLE","NO CUMPLE"))</f>
        <v/>
      </c>
      <c r="H18" s="17" t="n"/>
      <c r="I18" s="23" t="n">
        <v>0.9</v>
      </c>
      <c r="J18" s="19">
        <f>IF(H18="","",IF(H18&gt;=I18,"CUMPLE","NO CUMPLE"))</f>
        <v/>
      </c>
      <c r="K18" s="17" t="n"/>
      <c r="L18" s="23" t="n">
        <v>0.8</v>
      </c>
      <c r="M18" s="19">
        <f>IF(K18="","",IF(K18&gt;=L18,"CUMPLE","NO CUMPLE"))</f>
        <v/>
      </c>
      <c r="N18" s="17" t="n"/>
      <c r="O18" s="23" t="n">
        <v>0.98</v>
      </c>
      <c r="P18" s="19">
        <f>IF(N18="","",IF(N18&gt;=O18,"CUMPLE","NO CUMPLE"))</f>
        <v/>
      </c>
      <c r="Q18" s="17" t="n"/>
      <c r="R18" s="23" t="n">
        <v>0.9</v>
      </c>
      <c r="S18" s="19">
        <f>IF(Q18="","",IF(Q18&gt;=R18,"CUMPLE","NO CUMPLE"))</f>
        <v/>
      </c>
      <c r="T18" s="20" t="n"/>
      <c r="U18" s="24" t="n">
        <v>410</v>
      </c>
      <c r="V18" s="19">
        <f>IF(T18="","",IF(T18&lt;=U18,"CUMPLE","NO CUMPLE"))</f>
        <v/>
      </c>
      <c r="W18" s="17" t="n"/>
      <c r="X18" s="23" t="n">
        <v>0.05</v>
      </c>
      <c r="Y18" s="19">
        <f>IF(W18="","",IF(W18&lt;=X18,"CUMPLE","NO CUMPLE"))</f>
        <v/>
      </c>
      <c r="Z18" s="17" t="n"/>
      <c r="AA18" s="23" t="n">
        <v>0.03</v>
      </c>
      <c r="AB18" s="19">
        <f>IF(Z18="","",IF(Z18&lt;=AA18,"CUMPLE","NO CUMPLE"))</f>
        <v/>
      </c>
      <c r="AC18" s="17" t="n"/>
      <c r="AD18" s="23" t="n">
        <v>0.02</v>
      </c>
      <c r="AE18" s="19">
        <f>IF(AC18="","",IF(AC18&lt;=AD18,"CUMPLE","NO CUMPLE"))</f>
        <v/>
      </c>
      <c r="AF18" s="17" t="n"/>
      <c r="AG18" s="23" t="n">
        <v>0.05</v>
      </c>
      <c r="AH18" s="19">
        <f>IF(AF18="","",IF(AF18&lt;=AG18,"CUMPLE","NO CUMPLE"))</f>
        <v/>
      </c>
      <c r="AI18" s="22" t="n"/>
      <c r="AJ18" s="22" t="n"/>
    </row>
    <row r="19">
      <c r="A19" s="13" t="inlineStr">
        <is>
          <t>1098641297</t>
        </is>
      </c>
      <c r="B19" s="14" t="inlineStr">
        <is>
          <t>BAUTISTA OSPINA ALEJANDRA</t>
        </is>
      </c>
      <c r="C19" s="15" t="inlineStr">
        <is>
          <t>INBOUND</t>
        </is>
      </c>
      <c r="D19" s="16" t="inlineStr">
        <is>
          <t>GOMEZ PEREZ JOSE DANIEL</t>
        </is>
      </c>
      <c r="E19" s="17" t="n"/>
      <c r="F19" s="18" t="n">
        <v>0.95</v>
      </c>
      <c r="G19" s="19">
        <f>IF(E19="","",IF(E19&gt;=F19,"CUMPLE","NO CUMPLE"))</f>
        <v/>
      </c>
      <c r="H19" s="17" t="n"/>
      <c r="I19" s="18" t="n">
        <v>0.9</v>
      </c>
      <c r="J19" s="19">
        <f>IF(H19="","",IF(H19&gt;=I19,"CUMPLE","NO CUMPLE"))</f>
        <v/>
      </c>
      <c r="K19" s="17" t="n"/>
      <c r="L19" s="18" t="n">
        <v>0.8</v>
      </c>
      <c r="M19" s="19">
        <f>IF(K19="","",IF(K19&gt;=L19,"CUMPLE","NO CUMPLE"))</f>
        <v/>
      </c>
      <c r="N19" s="17" t="n"/>
      <c r="O19" s="18" t="n">
        <v>0.98</v>
      </c>
      <c r="P19" s="19">
        <f>IF(N19="","",IF(N19&gt;=O19,"CUMPLE","NO CUMPLE"))</f>
        <v/>
      </c>
      <c r="Q19" s="17" t="n"/>
      <c r="R19" s="18" t="n">
        <v>0.9</v>
      </c>
      <c r="S19" s="19">
        <f>IF(Q19="","",IF(Q19&gt;=R19,"CUMPLE","NO CUMPLE"))</f>
        <v/>
      </c>
      <c r="T19" s="20" t="n"/>
      <c r="U19" s="21" t="n">
        <v>410</v>
      </c>
      <c r="V19" s="19">
        <f>IF(T19="","",IF(T19&lt;=U19,"CUMPLE","NO CUMPLE"))</f>
        <v/>
      </c>
      <c r="W19" s="17" t="n"/>
      <c r="X19" s="18" t="n">
        <v>0.05</v>
      </c>
      <c r="Y19" s="19">
        <f>IF(W19="","",IF(W19&lt;=X19,"CUMPLE","NO CUMPLE"))</f>
        <v/>
      </c>
      <c r="Z19" s="17" t="n"/>
      <c r="AA19" s="18" t="n">
        <v>0.03</v>
      </c>
      <c r="AB19" s="19">
        <f>IF(Z19="","",IF(Z19&lt;=AA19,"CUMPLE","NO CUMPLE"))</f>
        <v/>
      </c>
      <c r="AC19" s="17" t="n"/>
      <c r="AD19" s="18" t="n">
        <v>0.02</v>
      </c>
      <c r="AE19" s="19">
        <f>IF(AC19="","",IF(AC19&lt;=AD19,"CUMPLE","NO CUMPLE"))</f>
        <v/>
      </c>
      <c r="AF19" s="17" t="n"/>
      <c r="AG19" s="18" t="n">
        <v>0.05</v>
      </c>
      <c r="AH19" s="19">
        <f>IF(AF19="","",IF(AF19&lt;=AG19,"CUMPLE","NO CUMPLE"))</f>
        <v/>
      </c>
      <c r="AI19" s="22" t="n"/>
      <c r="AJ19" s="22" t="n"/>
    </row>
    <row r="20">
      <c r="A20" s="13" t="inlineStr">
        <is>
          <t>1016712031</t>
        </is>
      </c>
      <c r="B20" s="14" t="inlineStr">
        <is>
          <t>CALDERON BORJA YULY ALEJANDRA</t>
        </is>
      </c>
      <c r="C20" s="15" t="inlineStr">
        <is>
          <t>INBOUND</t>
        </is>
      </c>
      <c r="D20" s="16" t="inlineStr">
        <is>
          <t>GOMEZ PEREZ JOSE DANIEL</t>
        </is>
      </c>
      <c r="E20" s="17" t="n"/>
      <c r="F20" s="23" t="n">
        <v>0.95</v>
      </c>
      <c r="G20" s="19">
        <f>IF(E20="","",IF(E20&gt;=F20,"CUMPLE","NO CUMPLE"))</f>
        <v/>
      </c>
      <c r="H20" s="17" t="n"/>
      <c r="I20" s="23" t="n">
        <v>0.9</v>
      </c>
      <c r="J20" s="19">
        <f>IF(H20="","",IF(H20&gt;=I20,"CUMPLE","NO CUMPLE"))</f>
        <v/>
      </c>
      <c r="K20" s="17" t="n"/>
      <c r="L20" s="23" t="n">
        <v>0.8</v>
      </c>
      <c r="M20" s="19">
        <f>IF(K20="","",IF(K20&gt;=L20,"CUMPLE","NO CUMPLE"))</f>
        <v/>
      </c>
      <c r="N20" s="17" t="n"/>
      <c r="O20" s="23" t="n">
        <v>0.98</v>
      </c>
      <c r="P20" s="19">
        <f>IF(N20="","",IF(N20&gt;=O20,"CUMPLE","NO CUMPLE"))</f>
        <v/>
      </c>
      <c r="Q20" s="17" t="n"/>
      <c r="R20" s="23" t="n">
        <v>0.9</v>
      </c>
      <c r="S20" s="19">
        <f>IF(Q20="","",IF(Q20&gt;=R20,"CUMPLE","NO CUMPLE"))</f>
        <v/>
      </c>
      <c r="T20" s="20" t="n"/>
      <c r="U20" s="24" t="n">
        <v>410</v>
      </c>
      <c r="V20" s="19">
        <f>IF(T20="","",IF(T20&lt;=U20,"CUMPLE","NO CUMPLE"))</f>
        <v/>
      </c>
      <c r="W20" s="17" t="n"/>
      <c r="X20" s="23" t="n">
        <v>0.05</v>
      </c>
      <c r="Y20" s="19">
        <f>IF(W20="","",IF(W20&lt;=X20,"CUMPLE","NO CUMPLE"))</f>
        <v/>
      </c>
      <c r="Z20" s="17" t="n"/>
      <c r="AA20" s="23" t="n">
        <v>0.03</v>
      </c>
      <c r="AB20" s="19">
        <f>IF(Z20="","",IF(Z20&lt;=AA20,"CUMPLE","NO CUMPLE"))</f>
        <v/>
      </c>
      <c r="AC20" s="17" t="n"/>
      <c r="AD20" s="23" t="n">
        <v>0.02</v>
      </c>
      <c r="AE20" s="19">
        <f>IF(AC20="","",IF(AC20&lt;=AD20,"CUMPLE","NO CUMPLE"))</f>
        <v/>
      </c>
      <c r="AF20" s="17" t="n"/>
      <c r="AG20" s="23" t="n">
        <v>0.05</v>
      </c>
      <c r="AH20" s="19">
        <f>IF(AF20="","",IF(AF20&lt;=AG20,"CUMPLE","NO CUMPLE"))</f>
        <v/>
      </c>
      <c r="AI20" s="22" t="n"/>
      <c r="AJ20" s="22" t="n"/>
    </row>
    <row r="21">
      <c r="A21" s="13" t="inlineStr">
        <is>
          <t>1015994524</t>
        </is>
      </c>
      <c r="B21" s="14" t="inlineStr">
        <is>
          <t>CASTILLO BERNAL ANGEL DAVID</t>
        </is>
      </c>
      <c r="C21" s="15" t="inlineStr">
        <is>
          <t>INBOUND</t>
        </is>
      </c>
      <c r="D21" s="16" t="inlineStr">
        <is>
          <t>GOMEZ PEREZ JOSE DANIEL</t>
        </is>
      </c>
      <c r="E21" s="17" t="n"/>
      <c r="F21" s="18" t="n">
        <v>0.95</v>
      </c>
      <c r="G21" s="19">
        <f>IF(E21="","",IF(E21&gt;=F21,"CUMPLE","NO CUMPLE"))</f>
        <v/>
      </c>
      <c r="H21" s="17" t="n"/>
      <c r="I21" s="18" t="n">
        <v>0.9</v>
      </c>
      <c r="J21" s="19">
        <f>IF(H21="","",IF(H21&gt;=I21,"CUMPLE","NO CUMPLE"))</f>
        <v/>
      </c>
      <c r="K21" s="17" t="n"/>
      <c r="L21" s="18" t="n">
        <v>0.8</v>
      </c>
      <c r="M21" s="19">
        <f>IF(K21="","",IF(K21&gt;=L21,"CUMPLE","NO CUMPLE"))</f>
        <v/>
      </c>
      <c r="N21" s="17" t="n"/>
      <c r="O21" s="18" t="n">
        <v>0.98</v>
      </c>
      <c r="P21" s="19">
        <f>IF(N21="","",IF(N21&gt;=O21,"CUMPLE","NO CUMPLE"))</f>
        <v/>
      </c>
      <c r="Q21" s="17" t="n"/>
      <c r="R21" s="18" t="n">
        <v>0.9</v>
      </c>
      <c r="S21" s="19">
        <f>IF(Q21="","",IF(Q21&gt;=R21,"CUMPLE","NO CUMPLE"))</f>
        <v/>
      </c>
      <c r="T21" s="20" t="n"/>
      <c r="U21" s="21" t="n">
        <v>410</v>
      </c>
      <c r="V21" s="19">
        <f>IF(T21="","",IF(T21&lt;=U21,"CUMPLE","NO CUMPLE"))</f>
        <v/>
      </c>
      <c r="W21" s="17" t="n"/>
      <c r="X21" s="18" t="n">
        <v>0.05</v>
      </c>
      <c r="Y21" s="19">
        <f>IF(W21="","",IF(W21&lt;=X21,"CUMPLE","NO CUMPLE"))</f>
        <v/>
      </c>
      <c r="Z21" s="17" t="n"/>
      <c r="AA21" s="18" t="n">
        <v>0.03</v>
      </c>
      <c r="AB21" s="19">
        <f>IF(Z21="","",IF(Z21&lt;=AA21,"CUMPLE","NO CUMPLE"))</f>
        <v/>
      </c>
      <c r="AC21" s="17" t="n"/>
      <c r="AD21" s="18" t="n">
        <v>0.02</v>
      </c>
      <c r="AE21" s="19">
        <f>IF(AC21="","",IF(AC21&lt;=AD21,"CUMPLE","NO CUMPLE"))</f>
        <v/>
      </c>
      <c r="AF21" s="17" t="n"/>
      <c r="AG21" s="18" t="n">
        <v>0.05</v>
      </c>
      <c r="AH21" s="19">
        <f>IF(AF21="","",IF(AF21&lt;=AG21,"CUMPLE","NO CUMPLE"))</f>
        <v/>
      </c>
      <c r="AI21" s="22" t="n"/>
      <c r="AJ21" s="22" t="n"/>
    </row>
    <row r="22">
      <c r="A22" s="13" t="inlineStr">
        <is>
          <t>1032466978</t>
        </is>
      </c>
      <c r="B22" s="14" t="inlineStr">
        <is>
          <t>CORTES CORTES CRISTHIAN DARIO</t>
        </is>
      </c>
      <c r="C22" s="15" t="inlineStr">
        <is>
          <t>INBOUND</t>
        </is>
      </c>
      <c r="D22" s="16" t="inlineStr">
        <is>
          <t>GOMEZ PEREZ JOSE DANIEL</t>
        </is>
      </c>
      <c r="E22" s="17" t="n"/>
      <c r="F22" s="23" t="n">
        <v>0.95</v>
      </c>
      <c r="G22" s="19">
        <f>IF(E22="","",IF(E22&gt;=F22,"CUMPLE","NO CUMPLE"))</f>
        <v/>
      </c>
      <c r="H22" s="17" t="n"/>
      <c r="I22" s="23" t="n">
        <v>0.9</v>
      </c>
      <c r="J22" s="19">
        <f>IF(H22="","",IF(H22&gt;=I22,"CUMPLE","NO CUMPLE"))</f>
        <v/>
      </c>
      <c r="K22" s="17" t="n"/>
      <c r="L22" s="23" t="n">
        <v>0.8</v>
      </c>
      <c r="M22" s="19">
        <f>IF(K22="","",IF(K22&gt;=L22,"CUMPLE","NO CUMPLE"))</f>
        <v/>
      </c>
      <c r="N22" s="17" t="n"/>
      <c r="O22" s="23" t="n">
        <v>0.98</v>
      </c>
      <c r="P22" s="19">
        <f>IF(N22="","",IF(N22&gt;=O22,"CUMPLE","NO CUMPLE"))</f>
        <v/>
      </c>
      <c r="Q22" s="17" t="n"/>
      <c r="R22" s="23" t="n">
        <v>0.9</v>
      </c>
      <c r="S22" s="19">
        <f>IF(Q22="","",IF(Q22&gt;=R22,"CUMPLE","NO CUMPLE"))</f>
        <v/>
      </c>
      <c r="T22" s="20" t="n"/>
      <c r="U22" s="24" t="n">
        <v>410</v>
      </c>
      <c r="V22" s="19">
        <f>IF(T22="","",IF(T22&lt;=U22,"CUMPLE","NO CUMPLE"))</f>
        <v/>
      </c>
      <c r="W22" s="17" t="n"/>
      <c r="X22" s="23" t="n">
        <v>0.05</v>
      </c>
      <c r="Y22" s="19">
        <f>IF(W22="","",IF(W22&lt;=X22,"CUMPLE","NO CUMPLE"))</f>
        <v/>
      </c>
      <c r="Z22" s="17" t="n"/>
      <c r="AA22" s="23" t="n">
        <v>0.03</v>
      </c>
      <c r="AB22" s="19">
        <f>IF(Z22="","",IF(Z22&lt;=AA22,"CUMPLE","NO CUMPLE"))</f>
        <v/>
      </c>
      <c r="AC22" s="17" t="n"/>
      <c r="AD22" s="23" t="n">
        <v>0.02</v>
      </c>
      <c r="AE22" s="19">
        <f>IF(AC22="","",IF(AC22&lt;=AD22,"CUMPLE","NO CUMPLE"))</f>
        <v/>
      </c>
      <c r="AF22" s="17" t="n"/>
      <c r="AG22" s="23" t="n">
        <v>0.05</v>
      </c>
      <c r="AH22" s="19">
        <f>IF(AF22="","",IF(AF22&lt;=AG22,"CUMPLE","NO CUMPLE"))</f>
        <v/>
      </c>
      <c r="AI22" s="22" t="n"/>
      <c r="AJ22" s="22" t="n"/>
    </row>
    <row r="23">
      <c r="A23" s="13" t="inlineStr">
        <is>
          <t>1030683268</t>
        </is>
      </c>
      <c r="B23" s="14" t="inlineStr">
        <is>
          <t>FIERRO BONILLA JUAN CARLOS</t>
        </is>
      </c>
      <c r="C23" s="15" t="inlineStr"/>
      <c r="D23" s="16" t="inlineStr">
        <is>
          <t>GOMEZ PEREZ JOSE DANIEL</t>
        </is>
      </c>
      <c r="E23" s="17" t="n"/>
      <c r="F23" s="18" t="n">
        <v>0.95</v>
      </c>
      <c r="G23" s="19">
        <f>IF(E23="","",IF(E23&gt;=F23,"CUMPLE","NO CUMPLE"))</f>
        <v/>
      </c>
      <c r="H23" s="17" t="n"/>
      <c r="I23" s="18" t="n">
        <v>0.9</v>
      </c>
      <c r="J23" s="19">
        <f>IF(H23="","",IF(H23&gt;=I23,"CUMPLE","NO CUMPLE"))</f>
        <v/>
      </c>
      <c r="K23" s="17" t="n"/>
      <c r="L23" s="18" t="n">
        <v>0.8</v>
      </c>
      <c r="M23" s="19">
        <f>IF(K23="","",IF(K23&gt;=L23,"CUMPLE","NO CUMPLE"))</f>
        <v/>
      </c>
      <c r="N23" s="17" t="n"/>
      <c r="O23" s="18" t="n">
        <v>0.98</v>
      </c>
      <c r="P23" s="19">
        <f>IF(N23="","",IF(N23&gt;=O23,"CUMPLE","NO CUMPLE"))</f>
        <v/>
      </c>
      <c r="Q23" s="17" t="n"/>
      <c r="R23" s="18" t="n">
        <v>0.9</v>
      </c>
      <c r="S23" s="19">
        <f>IF(Q23="","",IF(Q23&gt;=R23,"CUMPLE","NO CUMPLE"))</f>
        <v/>
      </c>
      <c r="T23" s="20" t="n"/>
      <c r="U23" s="21" t="n">
        <v>410</v>
      </c>
      <c r="V23" s="19">
        <f>IF(T23="","",IF(T23&lt;=U23,"CUMPLE","NO CUMPLE"))</f>
        <v/>
      </c>
      <c r="W23" s="17" t="n"/>
      <c r="X23" s="18" t="n">
        <v>0.05</v>
      </c>
      <c r="Y23" s="19">
        <f>IF(W23="","",IF(W23&lt;=X23,"CUMPLE","NO CUMPLE"))</f>
        <v/>
      </c>
      <c r="Z23" s="17" t="n"/>
      <c r="AA23" s="18" t="n">
        <v>0.03</v>
      </c>
      <c r="AB23" s="19">
        <f>IF(Z23="","",IF(Z23&lt;=AA23,"CUMPLE","NO CUMPLE"))</f>
        <v/>
      </c>
      <c r="AC23" s="17" t="n"/>
      <c r="AD23" s="18" t="n">
        <v>0.02</v>
      </c>
      <c r="AE23" s="19">
        <f>IF(AC23="","",IF(AC23&lt;=AD23,"CUMPLE","NO CUMPLE"))</f>
        <v/>
      </c>
      <c r="AF23" s="17" t="n"/>
      <c r="AG23" s="18" t="n">
        <v>0.05</v>
      </c>
      <c r="AH23" s="19">
        <f>IF(AF23="","",IF(AF23&lt;=AG23,"CUMPLE","NO CUMPLE"))</f>
        <v/>
      </c>
      <c r="AI23" s="22" t="n"/>
      <c r="AJ23" s="22" t="n"/>
    </row>
    <row r="24">
      <c r="A24" s="13" t="inlineStr">
        <is>
          <t>1000859890</t>
        </is>
      </c>
      <c r="B24" s="14" t="inlineStr">
        <is>
          <t>GARCIA MONTOYA CAMILA ANDREA</t>
        </is>
      </c>
      <c r="C24" s="15" t="inlineStr">
        <is>
          <t>INBOUND</t>
        </is>
      </c>
      <c r="D24" s="16" t="inlineStr">
        <is>
          <t>GOMEZ PEREZ JOSE DANIEL</t>
        </is>
      </c>
      <c r="E24" s="17" t="n"/>
      <c r="F24" s="23" t="n">
        <v>0.95</v>
      </c>
      <c r="G24" s="19">
        <f>IF(E24="","",IF(E24&gt;=F24,"CUMPLE","NO CUMPLE"))</f>
        <v/>
      </c>
      <c r="H24" s="17" t="n"/>
      <c r="I24" s="23" t="n">
        <v>0.9</v>
      </c>
      <c r="J24" s="19">
        <f>IF(H24="","",IF(H24&gt;=I24,"CUMPLE","NO CUMPLE"))</f>
        <v/>
      </c>
      <c r="K24" s="17" t="n"/>
      <c r="L24" s="23" t="n">
        <v>0.8</v>
      </c>
      <c r="M24" s="19">
        <f>IF(K24="","",IF(K24&gt;=L24,"CUMPLE","NO CUMPLE"))</f>
        <v/>
      </c>
      <c r="N24" s="17" t="n"/>
      <c r="O24" s="23" t="n">
        <v>0.98</v>
      </c>
      <c r="P24" s="19">
        <f>IF(N24="","",IF(N24&gt;=O24,"CUMPLE","NO CUMPLE"))</f>
        <v/>
      </c>
      <c r="Q24" s="17" t="n"/>
      <c r="R24" s="23" t="n">
        <v>0.9</v>
      </c>
      <c r="S24" s="19">
        <f>IF(Q24="","",IF(Q24&gt;=R24,"CUMPLE","NO CUMPLE"))</f>
        <v/>
      </c>
      <c r="T24" s="20" t="n"/>
      <c r="U24" s="24" t="n">
        <v>410</v>
      </c>
      <c r="V24" s="19">
        <f>IF(T24="","",IF(T24&lt;=U24,"CUMPLE","NO CUMPLE"))</f>
        <v/>
      </c>
      <c r="W24" s="17" t="n"/>
      <c r="X24" s="23" t="n">
        <v>0.05</v>
      </c>
      <c r="Y24" s="19">
        <f>IF(W24="","",IF(W24&lt;=X24,"CUMPLE","NO CUMPLE"))</f>
        <v/>
      </c>
      <c r="Z24" s="17" t="n"/>
      <c r="AA24" s="23" t="n">
        <v>0.03</v>
      </c>
      <c r="AB24" s="19">
        <f>IF(Z24="","",IF(Z24&lt;=AA24,"CUMPLE","NO CUMPLE"))</f>
        <v/>
      </c>
      <c r="AC24" s="17" t="n"/>
      <c r="AD24" s="23" t="n">
        <v>0.02</v>
      </c>
      <c r="AE24" s="19">
        <f>IF(AC24="","",IF(AC24&lt;=AD24,"CUMPLE","NO CUMPLE"))</f>
        <v/>
      </c>
      <c r="AF24" s="17" t="n"/>
      <c r="AG24" s="23" t="n">
        <v>0.05</v>
      </c>
      <c r="AH24" s="19">
        <f>IF(AF24="","",IF(AF24&lt;=AG24,"CUMPLE","NO CUMPLE"))</f>
        <v/>
      </c>
      <c r="AI24" s="22" t="n"/>
      <c r="AJ24" s="22" t="n"/>
    </row>
    <row r="25">
      <c r="A25" s="13" t="inlineStr">
        <is>
          <t>1193278006</t>
        </is>
      </c>
      <c r="B25" s="14" t="inlineStr">
        <is>
          <t>MADERA HERRERA DIANA CAROLINA</t>
        </is>
      </c>
      <c r="C25" s="15" t="inlineStr">
        <is>
          <t>APOYO ELITE</t>
        </is>
      </c>
      <c r="D25" s="16" t="inlineStr">
        <is>
          <t>GOMEZ PEREZ JOSE DANIEL</t>
        </is>
      </c>
      <c r="E25" s="17" t="n"/>
      <c r="F25" s="18" t="n">
        <v>0.95</v>
      </c>
      <c r="G25" s="19">
        <f>IF(E25="","",IF(E25&gt;=F25,"CUMPLE","NO CUMPLE"))</f>
        <v/>
      </c>
      <c r="H25" s="17" t="n"/>
      <c r="I25" s="18" t="n">
        <v>0.9</v>
      </c>
      <c r="J25" s="19">
        <f>IF(H25="","",IF(H25&gt;=I25,"CUMPLE","NO CUMPLE"))</f>
        <v/>
      </c>
      <c r="K25" s="17" t="n"/>
      <c r="L25" s="18" t="n">
        <v>0.8</v>
      </c>
      <c r="M25" s="19">
        <f>IF(K25="","",IF(K25&gt;=L25,"CUMPLE","NO CUMPLE"))</f>
        <v/>
      </c>
      <c r="N25" s="17" t="n"/>
      <c r="O25" s="18" t="n">
        <v>0.98</v>
      </c>
      <c r="P25" s="19">
        <f>IF(N25="","",IF(N25&gt;=O25,"CUMPLE","NO CUMPLE"))</f>
        <v/>
      </c>
      <c r="Q25" s="17" t="n"/>
      <c r="R25" s="18" t="n">
        <v>0.9</v>
      </c>
      <c r="S25" s="19">
        <f>IF(Q25="","",IF(Q25&gt;=R25,"CUMPLE","NO CUMPLE"))</f>
        <v/>
      </c>
      <c r="T25" s="20" t="n"/>
      <c r="U25" s="21" t="n">
        <v>410</v>
      </c>
      <c r="V25" s="19">
        <f>IF(T25="","",IF(T25&lt;=U25,"CUMPLE","NO CUMPLE"))</f>
        <v/>
      </c>
      <c r="W25" s="17" t="n"/>
      <c r="X25" s="18" t="n">
        <v>0.05</v>
      </c>
      <c r="Y25" s="19">
        <f>IF(W25="","",IF(W25&lt;=X25,"CUMPLE","NO CUMPLE"))</f>
        <v/>
      </c>
      <c r="Z25" s="17" t="n"/>
      <c r="AA25" s="18" t="n">
        <v>0.03</v>
      </c>
      <c r="AB25" s="19">
        <f>IF(Z25="","",IF(Z25&lt;=AA25,"CUMPLE","NO CUMPLE"))</f>
        <v/>
      </c>
      <c r="AC25" s="17" t="n"/>
      <c r="AD25" s="18" t="n">
        <v>0.02</v>
      </c>
      <c r="AE25" s="19">
        <f>IF(AC25="","",IF(AC25&lt;=AD25,"CUMPLE","NO CUMPLE"))</f>
        <v/>
      </c>
      <c r="AF25" s="17" t="n"/>
      <c r="AG25" s="18" t="n">
        <v>0.05</v>
      </c>
      <c r="AH25" s="19">
        <f>IF(AF25="","",IF(AF25&lt;=AG25,"CUMPLE","NO CUMPLE"))</f>
        <v/>
      </c>
      <c r="AI25" s="22" t="n"/>
      <c r="AJ25" s="22" t="n"/>
    </row>
    <row r="26">
      <c r="A26" s="13" t="inlineStr">
        <is>
          <t>1082918689</t>
        </is>
      </c>
      <c r="B26" s="14" t="inlineStr">
        <is>
          <t>MELENDEZ REDONDO JUDITH SOFIA</t>
        </is>
      </c>
      <c r="C26" s="15" t="inlineStr"/>
      <c r="D26" s="16" t="inlineStr">
        <is>
          <t>GOMEZ PEREZ JOSE DANIEL</t>
        </is>
      </c>
      <c r="E26" s="17" t="n"/>
      <c r="F26" s="23" t="n">
        <v>0.95</v>
      </c>
      <c r="G26" s="19">
        <f>IF(E26="","",IF(E26&gt;=F26,"CUMPLE","NO CUMPLE"))</f>
        <v/>
      </c>
      <c r="H26" s="17" t="n"/>
      <c r="I26" s="23" t="n">
        <v>0.9</v>
      </c>
      <c r="J26" s="19">
        <f>IF(H26="","",IF(H26&gt;=I26,"CUMPLE","NO CUMPLE"))</f>
        <v/>
      </c>
      <c r="K26" s="17" t="n"/>
      <c r="L26" s="23" t="n">
        <v>0.8</v>
      </c>
      <c r="M26" s="19">
        <f>IF(K26="","",IF(K26&gt;=L26,"CUMPLE","NO CUMPLE"))</f>
        <v/>
      </c>
      <c r="N26" s="17" t="n"/>
      <c r="O26" s="23" t="n">
        <v>0.98</v>
      </c>
      <c r="P26" s="19">
        <f>IF(N26="","",IF(N26&gt;=O26,"CUMPLE","NO CUMPLE"))</f>
        <v/>
      </c>
      <c r="Q26" s="17" t="n"/>
      <c r="R26" s="23" t="n">
        <v>0.9</v>
      </c>
      <c r="S26" s="19">
        <f>IF(Q26="","",IF(Q26&gt;=R26,"CUMPLE","NO CUMPLE"))</f>
        <v/>
      </c>
      <c r="T26" s="20" t="n"/>
      <c r="U26" s="24" t="n">
        <v>410</v>
      </c>
      <c r="V26" s="19">
        <f>IF(T26="","",IF(T26&lt;=U26,"CUMPLE","NO CUMPLE"))</f>
        <v/>
      </c>
      <c r="W26" s="17" t="n"/>
      <c r="X26" s="23" t="n">
        <v>0.05</v>
      </c>
      <c r="Y26" s="19">
        <f>IF(W26="","",IF(W26&lt;=X26,"CUMPLE","NO CUMPLE"))</f>
        <v/>
      </c>
      <c r="Z26" s="17" t="n"/>
      <c r="AA26" s="23" t="n">
        <v>0.03</v>
      </c>
      <c r="AB26" s="19">
        <f>IF(Z26="","",IF(Z26&lt;=AA26,"CUMPLE","NO CUMPLE"))</f>
        <v/>
      </c>
      <c r="AC26" s="17" t="n"/>
      <c r="AD26" s="23" t="n">
        <v>0.02</v>
      </c>
      <c r="AE26" s="19">
        <f>IF(AC26="","",IF(AC26&lt;=AD26,"CUMPLE","NO CUMPLE"))</f>
        <v/>
      </c>
      <c r="AF26" s="17" t="n"/>
      <c r="AG26" s="23" t="n">
        <v>0.05</v>
      </c>
      <c r="AH26" s="19">
        <f>IF(AF26="","",IF(AF26&lt;=AG26,"CUMPLE","NO CUMPLE"))</f>
        <v/>
      </c>
      <c r="AI26" s="22" t="n"/>
      <c r="AJ26" s="22" t="n"/>
    </row>
    <row r="27">
      <c r="A27" s="13" t="inlineStr">
        <is>
          <t>1030555166</t>
        </is>
      </c>
      <c r="B27" s="14" t="inlineStr">
        <is>
          <t>OROZCO HERRERA MIGUEL ANGEL</t>
        </is>
      </c>
      <c r="C27" s="15" t="inlineStr">
        <is>
          <t>INBOUND</t>
        </is>
      </c>
      <c r="D27" s="16" t="inlineStr">
        <is>
          <t>GOMEZ PEREZ JOSE DANIEL</t>
        </is>
      </c>
      <c r="E27" s="17" t="n"/>
      <c r="F27" s="18" t="n">
        <v>0.95</v>
      </c>
      <c r="G27" s="19">
        <f>IF(E27="","",IF(E27&gt;=F27,"CUMPLE","NO CUMPLE"))</f>
        <v/>
      </c>
      <c r="H27" s="17" t="n"/>
      <c r="I27" s="18" t="n">
        <v>0.9</v>
      </c>
      <c r="J27" s="19">
        <f>IF(H27="","",IF(H27&gt;=I27,"CUMPLE","NO CUMPLE"))</f>
        <v/>
      </c>
      <c r="K27" s="17" t="n"/>
      <c r="L27" s="18" t="n">
        <v>0.8</v>
      </c>
      <c r="M27" s="19">
        <f>IF(K27="","",IF(K27&gt;=L27,"CUMPLE","NO CUMPLE"))</f>
        <v/>
      </c>
      <c r="N27" s="17" t="n"/>
      <c r="O27" s="18" t="n">
        <v>0.98</v>
      </c>
      <c r="P27" s="19">
        <f>IF(N27="","",IF(N27&gt;=O27,"CUMPLE","NO CUMPLE"))</f>
        <v/>
      </c>
      <c r="Q27" s="17" t="n"/>
      <c r="R27" s="18" t="n">
        <v>0.9</v>
      </c>
      <c r="S27" s="19">
        <f>IF(Q27="","",IF(Q27&gt;=R27,"CUMPLE","NO CUMPLE"))</f>
        <v/>
      </c>
      <c r="T27" s="20" t="n"/>
      <c r="U27" s="21" t="n">
        <v>410</v>
      </c>
      <c r="V27" s="19">
        <f>IF(T27="","",IF(T27&lt;=U27,"CUMPLE","NO CUMPLE"))</f>
        <v/>
      </c>
      <c r="W27" s="17" t="n"/>
      <c r="X27" s="18" t="n">
        <v>0.05</v>
      </c>
      <c r="Y27" s="19">
        <f>IF(W27="","",IF(W27&lt;=X27,"CUMPLE","NO CUMPLE"))</f>
        <v/>
      </c>
      <c r="Z27" s="17" t="n"/>
      <c r="AA27" s="18" t="n">
        <v>0.03</v>
      </c>
      <c r="AB27" s="19">
        <f>IF(Z27="","",IF(Z27&lt;=AA27,"CUMPLE","NO CUMPLE"))</f>
        <v/>
      </c>
      <c r="AC27" s="17" t="n"/>
      <c r="AD27" s="18" t="n">
        <v>0.02</v>
      </c>
      <c r="AE27" s="19">
        <f>IF(AC27="","",IF(AC27&lt;=AD27,"CUMPLE","NO CUMPLE"))</f>
        <v/>
      </c>
      <c r="AF27" s="17" t="n"/>
      <c r="AG27" s="18" t="n">
        <v>0.05</v>
      </c>
      <c r="AH27" s="19">
        <f>IF(AF27="","",IF(AF27&lt;=AG27,"CUMPLE","NO CUMPLE"))</f>
        <v/>
      </c>
      <c r="AI27" s="22" t="n"/>
      <c r="AJ27" s="22" t="n"/>
    </row>
    <row r="28">
      <c r="A28" s="13" t="inlineStr">
        <is>
          <t>1001343388</t>
        </is>
      </c>
      <c r="B28" s="14" t="inlineStr">
        <is>
          <t>RAMIREZ QUIROZ LICED GABRIELA</t>
        </is>
      </c>
      <c r="C28" s="15" t="inlineStr">
        <is>
          <t>INBOUND</t>
        </is>
      </c>
      <c r="D28" s="16" t="inlineStr">
        <is>
          <t>GOMEZ PEREZ JOSE DANIEL</t>
        </is>
      </c>
      <c r="E28" s="17" t="n"/>
      <c r="F28" s="23" t="n">
        <v>0.95</v>
      </c>
      <c r="G28" s="19">
        <f>IF(E28="","",IF(E28&gt;=F28,"CUMPLE","NO CUMPLE"))</f>
        <v/>
      </c>
      <c r="H28" s="17" t="n"/>
      <c r="I28" s="23" t="n">
        <v>0.9</v>
      </c>
      <c r="J28" s="19">
        <f>IF(H28="","",IF(H28&gt;=I28,"CUMPLE","NO CUMPLE"))</f>
        <v/>
      </c>
      <c r="K28" s="17" t="n"/>
      <c r="L28" s="23" t="n">
        <v>0.8</v>
      </c>
      <c r="M28" s="19">
        <f>IF(K28="","",IF(K28&gt;=L28,"CUMPLE","NO CUMPLE"))</f>
        <v/>
      </c>
      <c r="N28" s="17" t="n"/>
      <c r="O28" s="23" t="n">
        <v>0.98</v>
      </c>
      <c r="P28" s="19">
        <f>IF(N28="","",IF(N28&gt;=O28,"CUMPLE","NO CUMPLE"))</f>
        <v/>
      </c>
      <c r="Q28" s="17" t="n"/>
      <c r="R28" s="23" t="n">
        <v>0.9</v>
      </c>
      <c r="S28" s="19">
        <f>IF(Q28="","",IF(Q28&gt;=R28,"CUMPLE","NO CUMPLE"))</f>
        <v/>
      </c>
      <c r="T28" s="20" t="n"/>
      <c r="U28" s="24" t="n">
        <v>410</v>
      </c>
      <c r="V28" s="19">
        <f>IF(T28="","",IF(T28&lt;=U28,"CUMPLE","NO CUMPLE"))</f>
        <v/>
      </c>
      <c r="W28" s="17" t="n"/>
      <c r="X28" s="23" t="n">
        <v>0.05</v>
      </c>
      <c r="Y28" s="19">
        <f>IF(W28="","",IF(W28&lt;=X28,"CUMPLE","NO CUMPLE"))</f>
        <v/>
      </c>
      <c r="Z28" s="17" t="n"/>
      <c r="AA28" s="23" t="n">
        <v>0.03</v>
      </c>
      <c r="AB28" s="19">
        <f>IF(Z28="","",IF(Z28&lt;=AA28,"CUMPLE","NO CUMPLE"))</f>
        <v/>
      </c>
      <c r="AC28" s="17" t="n"/>
      <c r="AD28" s="23" t="n">
        <v>0.02</v>
      </c>
      <c r="AE28" s="19">
        <f>IF(AC28="","",IF(AC28&lt;=AD28,"CUMPLE","NO CUMPLE"))</f>
        <v/>
      </c>
      <c r="AF28" s="17" t="n"/>
      <c r="AG28" s="23" t="n">
        <v>0.05</v>
      </c>
      <c r="AH28" s="19">
        <f>IF(AF28="","",IF(AF28&lt;=AG28,"CUMPLE","NO CUMPLE"))</f>
        <v/>
      </c>
      <c r="AI28" s="22" t="n"/>
      <c r="AJ28" s="22" t="n"/>
    </row>
    <row r="29">
      <c r="A29" s="13" t="inlineStr">
        <is>
          <t>1019014068</t>
        </is>
      </c>
      <c r="B29" s="14" t="inlineStr">
        <is>
          <t>RUEDA MENE CESAR GABRIEL</t>
        </is>
      </c>
      <c r="C29" s="15" t="inlineStr">
        <is>
          <t>ELITE</t>
        </is>
      </c>
      <c r="D29" s="16" t="inlineStr">
        <is>
          <t>GOMEZ PEREZ JOSE DANIEL</t>
        </is>
      </c>
      <c r="E29" s="17" t="n"/>
      <c r="F29" s="18" t="n">
        <v>0.95</v>
      </c>
      <c r="G29" s="19">
        <f>IF(E29="","",IF(E29&gt;=F29,"CUMPLE","NO CUMPLE"))</f>
        <v/>
      </c>
      <c r="H29" s="17" t="n"/>
      <c r="I29" s="18" t="n">
        <v>0.9</v>
      </c>
      <c r="J29" s="19">
        <f>IF(H29="","",IF(H29&gt;=I29,"CUMPLE","NO CUMPLE"))</f>
        <v/>
      </c>
      <c r="K29" s="17" t="n"/>
      <c r="L29" s="18" t="n">
        <v>0.8</v>
      </c>
      <c r="M29" s="19">
        <f>IF(K29="","",IF(K29&gt;=L29,"CUMPLE","NO CUMPLE"))</f>
        <v/>
      </c>
      <c r="N29" s="17" t="n"/>
      <c r="O29" s="18" t="n">
        <v>0.98</v>
      </c>
      <c r="P29" s="19">
        <f>IF(N29="","",IF(N29&gt;=O29,"CUMPLE","NO CUMPLE"))</f>
        <v/>
      </c>
      <c r="Q29" s="17" t="n"/>
      <c r="R29" s="18" t="n">
        <v>0.9</v>
      </c>
      <c r="S29" s="19">
        <f>IF(Q29="","",IF(Q29&gt;=R29,"CUMPLE","NO CUMPLE"))</f>
        <v/>
      </c>
      <c r="T29" s="20" t="n"/>
      <c r="U29" s="21" t="n">
        <v>410</v>
      </c>
      <c r="V29" s="19">
        <f>IF(T29="","",IF(T29&lt;=U29,"CUMPLE","NO CUMPLE"))</f>
        <v/>
      </c>
      <c r="W29" s="17" t="n"/>
      <c r="X29" s="18" t="n">
        <v>0.05</v>
      </c>
      <c r="Y29" s="19">
        <f>IF(W29="","",IF(W29&lt;=X29,"CUMPLE","NO CUMPLE"))</f>
        <v/>
      </c>
      <c r="Z29" s="17" t="n"/>
      <c r="AA29" s="18" t="n">
        <v>0.03</v>
      </c>
      <c r="AB29" s="19">
        <f>IF(Z29="","",IF(Z29&lt;=AA29,"CUMPLE","NO CUMPLE"))</f>
        <v/>
      </c>
      <c r="AC29" s="17" t="n"/>
      <c r="AD29" s="18" t="n">
        <v>0.02</v>
      </c>
      <c r="AE29" s="19">
        <f>IF(AC29="","",IF(AC29&lt;=AD29,"CUMPLE","NO CUMPLE"))</f>
        <v/>
      </c>
      <c r="AF29" s="17" t="n"/>
      <c r="AG29" s="18" t="n">
        <v>0.05</v>
      </c>
      <c r="AH29" s="19">
        <f>IF(AF29="","",IF(AF29&lt;=AG29,"CUMPLE","NO CUMPLE"))</f>
        <v/>
      </c>
      <c r="AI29" s="22" t="n"/>
      <c r="AJ29" s="22" t="n"/>
    </row>
    <row r="30">
      <c r="A30" s="13" t="inlineStr">
        <is>
          <t>1233893774</t>
        </is>
      </c>
      <c r="B30" s="14" t="inlineStr">
        <is>
          <t>SANCHEZ CUERVO JULLY ANDREA</t>
        </is>
      </c>
      <c r="C30" s="15" t="inlineStr"/>
      <c r="D30" s="16" t="inlineStr">
        <is>
          <t>GOMEZ PEREZ JOSE DANIEL</t>
        </is>
      </c>
      <c r="E30" s="17" t="n"/>
      <c r="F30" s="23" t="n">
        <v>0.95</v>
      </c>
      <c r="G30" s="19">
        <f>IF(E30="","",IF(E30&gt;=F30,"CUMPLE","NO CUMPLE"))</f>
        <v/>
      </c>
      <c r="H30" s="17" t="n"/>
      <c r="I30" s="23" t="n">
        <v>0.9</v>
      </c>
      <c r="J30" s="19">
        <f>IF(H30="","",IF(H30&gt;=I30,"CUMPLE","NO CUMPLE"))</f>
        <v/>
      </c>
      <c r="K30" s="17" t="n"/>
      <c r="L30" s="23" t="n">
        <v>0.8</v>
      </c>
      <c r="M30" s="19">
        <f>IF(K30="","",IF(K30&gt;=L30,"CUMPLE","NO CUMPLE"))</f>
        <v/>
      </c>
      <c r="N30" s="17" t="n"/>
      <c r="O30" s="23" t="n">
        <v>0.98</v>
      </c>
      <c r="P30" s="19">
        <f>IF(N30="","",IF(N30&gt;=O30,"CUMPLE","NO CUMPLE"))</f>
        <v/>
      </c>
      <c r="Q30" s="17" t="n"/>
      <c r="R30" s="23" t="n">
        <v>0.9</v>
      </c>
      <c r="S30" s="19">
        <f>IF(Q30="","",IF(Q30&gt;=R30,"CUMPLE","NO CUMPLE"))</f>
        <v/>
      </c>
      <c r="T30" s="20" t="n"/>
      <c r="U30" s="24" t="n">
        <v>410</v>
      </c>
      <c r="V30" s="19">
        <f>IF(T30="","",IF(T30&lt;=U30,"CUMPLE","NO CUMPLE"))</f>
        <v/>
      </c>
      <c r="W30" s="17" t="n"/>
      <c r="X30" s="23" t="n">
        <v>0.05</v>
      </c>
      <c r="Y30" s="19">
        <f>IF(W30="","",IF(W30&lt;=X30,"CUMPLE","NO CUMPLE"))</f>
        <v/>
      </c>
      <c r="Z30" s="17" t="n"/>
      <c r="AA30" s="23" t="n">
        <v>0.03</v>
      </c>
      <c r="AB30" s="19">
        <f>IF(Z30="","",IF(Z30&lt;=AA30,"CUMPLE","NO CUMPLE"))</f>
        <v/>
      </c>
      <c r="AC30" s="17" t="n"/>
      <c r="AD30" s="23" t="n">
        <v>0.02</v>
      </c>
      <c r="AE30" s="19">
        <f>IF(AC30="","",IF(AC30&lt;=AD30,"CUMPLE","NO CUMPLE"))</f>
        <v/>
      </c>
      <c r="AF30" s="17" t="n"/>
      <c r="AG30" s="23" t="n">
        <v>0.05</v>
      </c>
      <c r="AH30" s="19">
        <f>IF(AF30="","",IF(AF30&lt;=AG30,"CUMPLE","NO CUMPLE"))</f>
        <v/>
      </c>
      <c r="AI30" s="22" t="n"/>
      <c r="AJ30" s="22" t="n"/>
    </row>
    <row r="31">
      <c r="A31" s="13" t="inlineStr">
        <is>
          <t>1033733992</t>
        </is>
      </c>
      <c r="B31" s="14" t="inlineStr">
        <is>
          <t>SARMIENTO MUÑOZ EVELIN XIOMARA</t>
        </is>
      </c>
      <c r="C31" s="15" t="inlineStr">
        <is>
          <t>ELITE</t>
        </is>
      </c>
      <c r="D31" s="16" t="inlineStr">
        <is>
          <t>GOMEZ PEREZ JOSE DANIEL</t>
        </is>
      </c>
      <c r="E31" s="17" t="n"/>
      <c r="F31" s="18" t="n">
        <v>0.95</v>
      </c>
      <c r="G31" s="19">
        <f>IF(E31="","",IF(E31&gt;=F31,"CUMPLE","NO CUMPLE"))</f>
        <v/>
      </c>
      <c r="H31" s="17" t="n"/>
      <c r="I31" s="18" t="n">
        <v>0.9</v>
      </c>
      <c r="J31" s="19">
        <f>IF(H31="","",IF(H31&gt;=I31,"CUMPLE","NO CUMPLE"))</f>
        <v/>
      </c>
      <c r="K31" s="17" t="n"/>
      <c r="L31" s="18" t="n">
        <v>0.8</v>
      </c>
      <c r="M31" s="19">
        <f>IF(K31="","",IF(K31&gt;=L31,"CUMPLE","NO CUMPLE"))</f>
        <v/>
      </c>
      <c r="N31" s="17" t="n"/>
      <c r="O31" s="18" t="n">
        <v>0.98</v>
      </c>
      <c r="P31" s="19">
        <f>IF(N31="","",IF(N31&gt;=O31,"CUMPLE","NO CUMPLE"))</f>
        <v/>
      </c>
      <c r="Q31" s="17" t="n"/>
      <c r="R31" s="18" t="n">
        <v>0.9</v>
      </c>
      <c r="S31" s="19">
        <f>IF(Q31="","",IF(Q31&gt;=R31,"CUMPLE","NO CUMPLE"))</f>
        <v/>
      </c>
      <c r="T31" s="20" t="n"/>
      <c r="U31" s="21" t="n">
        <v>410</v>
      </c>
      <c r="V31" s="19">
        <f>IF(T31="","",IF(T31&lt;=U31,"CUMPLE","NO CUMPLE"))</f>
        <v/>
      </c>
      <c r="W31" s="17" t="n"/>
      <c r="X31" s="18" t="n">
        <v>0.05</v>
      </c>
      <c r="Y31" s="19">
        <f>IF(W31="","",IF(W31&lt;=X31,"CUMPLE","NO CUMPLE"))</f>
        <v/>
      </c>
      <c r="Z31" s="17" t="n"/>
      <c r="AA31" s="18" t="n">
        <v>0.03</v>
      </c>
      <c r="AB31" s="19">
        <f>IF(Z31="","",IF(Z31&lt;=AA31,"CUMPLE","NO CUMPLE"))</f>
        <v/>
      </c>
      <c r="AC31" s="17" t="n"/>
      <c r="AD31" s="18" t="n">
        <v>0.02</v>
      </c>
      <c r="AE31" s="19">
        <f>IF(AC31="","",IF(AC31&lt;=AD31,"CUMPLE","NO CUMPLE"))</f>
        <v/>
      </c>
      <c r="AF31" s="17" t="n"/>
      <c r="AG31" s="18" t="n">
        <v>0.05</v>
      </c>
      <c r="AH31" s="19">
        <f>IF(AF31="","",IF(AF31&lt;=AG31,"CUMPLE","NO CUMPLE"))</f>
        <v/>
      </c>
      <c r="AI31" s="22" t="n"/>
      <c r="AJ31" s="22" t="n"/>
    </row>
    <row r="32">
      <c r="A32" s="13" t="inlineStr">
        <is>
          <t>1028484955</t>
        </is>
      </c>
      <c r="B32" s="14" t="inlineStr">
        <is>
          <t>WALDORF CAMACHO ANGELA GABRIELA VON</t>
        </is>
      </c>
      <c r="C32" s="15" t="inlineStr">
        <is>
          <t>INBOUND</t>
        </is>
      </c>
      <c r="D32" s="16" t="inlineStr">
        <is>
          <t>GOMEZ PEREZ JOSE DANIEL</t>
        </is>
      </c>
      <c r="E32" s="17" t="n"/>
      <c r="F32" s="23" t="n">
        <v>0.95</v>
      </c>
      <c r="G32" s="19">
        <f>IF(E32="","",IF(E32&gt;=F32,"CUMPLE","NO CUMPLE"))</f>
        <v/>
      </c>
      <c r="H32" s="17" t="n"/>
      <c r="I32" s="23" t="n">
        <v>0.9</v>
      </c>
      <c r="J32" s="19">
        <f>IF(H32="","",IF(H32&gt;=I32,"CUMPLE","NO CUMPLE"))</f>
        <v/>
      </c>
      <c r="K32" s="17" t="n"/>
      <c r="L32" s="23" t="n">
        <v>0.8</v>
      </c>
      <c r="M32" s="19">
        <f>IF(K32="","",IF(K32&gt;=L32,"CUMPLE","NO CUMPLE"))</f>
        <v/>
      </c>
      <c r="N32" s="17" t="n"/>
      <c r="O32" s="23" t="n">
        <v>0.98</v>
      </c>
      <c r="P32" s="19">
        <f>IF(N32="","",IF(N32&gt;=O32,"CUMPLE","NO CUMPLE"))</f>
        <v/>
      </c>
      <c r="Q32" s="17" t="n"/>
      <c r="R32" s="23" t="n">
        <v>0.9</v>
      </c>
      <c r="S32" s="19">
        <f>IF(Q32="","",IF(Q32&gt;=R32,"CUMPLE","NO CUMPLE"))</f>
        <v/>
      </c>
      <c r="T32" s="20" t="n"/>
      <c r="U32" s="24" t="n">
        <v>410</v>
      </c>
      <c r="V32" s="19">
        <f>IF(T32="","",IF(T32&lt;=U32,"CUMPLE","NO CUMPLE"))</f>
        <v/>
      </c>
      <c r="W32" s="17" t="n"/>
      <c r="X32" s="23" t="n">
        <v>0.05</v>
      </c>
      <c r="Y32" s="19">
        <f>IF(W32="","",IF(W32&lt;=X32,"CUMPLE","NO CUMPLE"))</f>
        <v/>
      </c>
      <c r="Z32" s="17" t="n"/>
      <c r="AA32" s="23" t="n">
        <v>0.03</v>
      </c>
      <c r="AB32" s="19">
        <f>IF(Z32="","",IF(Z32&lt;=AA32,"CUMPLE","NO CUMPLE"))</f>
        <v/>
      </c>
      <c r="AC32" s="17" t="n"/>
      <c r="AD32" s="23" t="n">
        <v>0.02</v>
      </c>
      <c r="AE32" s="19">
        <f>IF(AC32="","",IF(AC32&lt;=AD32,"CUMPLE","NO CUMPLE"))</f>
        <v/>
      </c>
      <c r="AF32" s="17" t="n"/>
      <c r="AG32" s="23" t="n">
        <v>0.05</v>
      </c>
      <c r="AH32" s="19">
        <f>IF(AF32="","",IF(AF32&lt;=AG32,"CUMPLE","NO CUMPLE"))</f>
        <v/>
      </c>
      <c r="AI32" s="22" t="n"/>
      <c r="AJ32" s="22" t="n"/>
    </row>
    <row r="33">
      <c r="A33" s="13" t="inlineStr">
        <is>
          <t>1024609146</t>
        </is>
      </c>
      <c r="B33" s="14" t="inlineStr">
        <is>
          <t>ABRIL MELO ANGIE PAOLA</t>
        </is>
      </c>
      <c r="C33" s="15" t="inlineStr">
        <is>
          <t>INBOUND</t>
        </is>
      </c>
      <c r="D33" s="16" t="inlineStr">
        <is>
          <t>ORTIZ CODINA JESUS ANTONIO</t>
        </is>
      </c>
      <c r="E33" s="17" t="n"/>
      <c r="F33" s="18" t="n">
        <v>0.95</v>
      </c>
      <c r="G33" s="19">
        <f>IF(E33="","",IF(E33&gt;=F33,"CUMPLE","NO CUMPLE"))</f>
        <v/>
      </c>
      <c r="H33" s="17" t="n"/>
      <c r="I33" s="18" t="n">
        <v>0.9</v>
      </c>
      <c r="J33" s="19">
        <f>IF(H33="","",IF(H33&gt;=I33,"CUMPLE","NO CUMPLE"))</f>
        <v/>
      </c>
      <c r="K33" s="17" t="n"/>
      <c r="L33" s="18" t="n">
        <v>0.8</v>
      </c>
      <c r="M33" s="19">
        <f>IF(K33="","",IF(K33&gt;=L33,"CUMPLE","NO CUMPLE"))</f>
        <v/>
      </c>
      <c r="N33" s="17" t="n"/>
      <c r="O33" s="18" t="n">
        <v>0.98</v>
      </c>
      <c r="P33" s="19">
        <f>IF(N33="","",IF(N33&gt;=O33,"CUMPLE","NO CUMPLE"))</f>
        <v/>
      </c>
      <c r="Q33" s="17" t="n"/>
      <c r="R33" s="18" t="n">
        <v>0.9</v>
      </c>
      <c r="S33" s="19">
        <f>IF(Q33="","",IF(Q33&gt;=R33,"CUMPLE","NO CUMPLE"))</f>
        <v/>
      </c>
      <c r="T33" s="20" t="n"/>
      <c r="U33" s="21" t="n">
        <v>410</v>
      </c>
      <c r="V33" s="19">
        <f>IF(T33="","",IF(T33&lt;=U33,"CUMPLE","NO CUMPLE"))</f>
        <v/>
      </c>
      <c r="W33" s="17" t="n"/>
      <c r="X33" s="18" t="n">
        <v>0.05</v>
      </c>
      <c r="Y33" s="19">
        <f>IF(W33="","",IF(W33&lt;=X33,"CUMPLE","NO CUMPLE"))</f>
        <v/>
      </c>
      <c r="Z33" s="17" t="n"/>
      <c r="AA33" s="18" t="n">
        <v>0.03</v>
      </c>
      <c r="AB33" s="19">
        <f>IF(Z33="","",IF(Z33&lt;=AA33,"CUMPLE","NO CUMPLE"))</f>
        <v/>
      </c>
      <c r="AC33" s="17" t="n"/>
      <c r="AD33" s="18" t="n">
        <v>0.02</v>
      </c>
      <c r="AE33" s="19">
        <f>IF(AC33="","",IF(AC33&lt;=AD33,"CUMPLE","NO CUMPLE"))</f>
        <v/>
      </c>
      <c r="AF33" s="17" t="n"/>
      <c r="AG33" s="18" t="n">
        <v>0.05</v>
      </c>
      <c r="AH33" s="19">
        <f>IF(AF33="","",IF(AF33&lt;=AG33,"CUMPLE","NO CUMPLE"))</f>
        <v/>
      </c>
      <c r="AI33" s="22" t="n"/>
      <c r="AJ33" s="22" t="n"/>
    </row>
    <row r="34">
      <c r="A34" s="13" t="inlineStr">
        <is>
          <t>1193603003</t>
        </is>
      </c>
      <c r="B34" s="14" t="inlineStr">
        <is>
          <t>AGUILAR PEREZ BRIAN STIVEN</t>
        </is>
      </c>
      <c r="C34" s="15" t="inlineStr">
        <is>
          <t>INBOUND</t>
        </is>
      </c>
      <c r="D34" s="16" t="inlineStr">
        <is>
          <t>ORTIZ CODINA JESUS ANTONIO</t>
        </is>
      </c>
      <c r="E34" s="17" t="n"/>
      <c r="F34" s="23" t="n">
        <v>0.95</v>
      </c>
      <c r="G34" s="19">
        <f>IF(E34="","",IF(E34&gt;=F34,"CUMPLE","NO CUMPLE"))</f>
        <v/>
      </c>
      <c r="H34" s="17" t="n"/>
      <c r="I34" s="23" t="n">
        <v>0.9</v>
      </c>
      <c r="J34" s="19">
        <f>IF(H34="","",IF(H34&gt;=I34,"CUMPLE","NO CUMPLE"))</f>
        <v/>
      </c>
      <c r="K34" s="17" t="n"/>
      <c r="L34" s="23" t="n">
        <v>0.8</v>
      </c>
      <c r="M34" s="19">
        <f>IF(K34="","",IF(K34&gt;=L34,"CUMPLE","NO CUMPLE"))</f>
        <v/>
      </c>
      <c r="N34" s="17" t="n"/>
      <c r="O34" s="23" t="n">
        <v>0.98</v>
      </c>
      <c r="P34" s="19">
        <f>IF(N34="","",IF(N34&gt;=O34,"CUMPLE","NO CUMPLE"))</f>
        <v/>
      </c>
      <c r="Q34" s="17" t="n"/>
      <c r="R34" s="23" t="n">
        <v>0.9</v>
      </c>
      <c r="S34" s="19">
        <f>IF(Q34="","",IF(Q34&gt;=R34,"CUMPLE","NO CUMPLE"))</f>
        <v/>
      </c>
      <c r="T34" s="20" t="n"/>
      <c r="U34" s="24" t="n">
        <v>410</v>
      </c>
      <c r="V34" s="19">
        <f>IF(T34="","",IF(T34&lt;=U34,"CUMPLE","NO CUMPLE"))</f>
        <v/>
      </c>
      <c r="W34" s="17" t="n"/>
      <c r="X34" s="23" t="n">
        <v>0.05</v>
      </c>
      <c r="Y34" s="19">
        <f>IF(W34="","",IF(W34&lt;=X34,"CUMPLE","NO CUMPLE"))</f>
        <v/>
      </c>
      <c r="Z34" s="17" t="n"/>
      <c r="AA34" s="23" t="n">
        <v>0.03</v>
      </c>
      <c r="AB34" s="19">
        <f>IF(Z34="","",IF(Z34&lt;=AA34,"CUMPLE","NO CUMPLE"))</f>
        <v/>
      </c>
      <c r="AC34" s="17" t="n"/>
      <c r="AD34" s="23" t="n">
        <v>0.02</v>
      </c>
      <c r="AE34" s="19">
        <f>IF(AC34="","",IF(AC34&lt;=AD34,"CUMPLE","NO CUMPLE"))</f>
        <v/>
      </c>
      <c r="AF34" s="17" t="n"/>
      <c r="AG34" s="23" t="n">
        <v>0.05</v>
      </c>
      <c r="AH34" s="19">
        <f>IF(AF34="","",IF(AF34&lt;=AG34,"CUMPLE","NO CUMPLE"))</f>
        <v/>
      </c>
      <c r="AI34" s="22" t="n"/>
      <c r="AJ34" s="22" t="n"/>
    </row>
    <row r="35">
      <c r="A35" s="13" t="inlineStr">
        <is>
          <t>1007404206</t>
        </is>
      </c>
      <c r="B35" s="14" t="inlineStr">
        <is>
          <t>AYALA PORRAS DIEGO FERNANDO</t>
        </is>
      </c>
      <c r="C35" s="15" t="inlineStr">
        <is>
          <t>INBOUND</t>
        </is>
      </c>
      <c r="D35" s="16" t="inlineStr">
        <is>
          <t>ORTIZ CODINA JESUS ANTONIO</t>
        </is>
      </c>
      <c r="E35" s="17" t="n"/>
      <c r="F35" s="18" t="n">
        <v>0.95</v>
      </c>
      <c r="G35" s="19">
        <f>IF(E35="","",IF(E35&gt;=F35,"CUMPLE","NO CUMPLE"))</f>
        <v/>
      </c>
      <c r="H35" s="17" t="n"/>
      <c r="I35" s="18" t="n">
        <v>0.9</v>
      </c>
      <c r="J35" s="19">
        <f>IF(H35="","",IF(H35&gt;=I35,"CUMPLE","NO CUMPLE"))</f>
        <v/>
      </c>
      <c r="K35" s="17" t="n"/>
      <c r="L35" s="18" t="n">
        <v>0.8</v>
      </c>
      <c r="M35" s="19">
        <f>IF(K35="","",IF(K35&gt;=L35,"CUMPLE","NO CUMPLE"))</f>
        <v/>
      </c>
      <c r="N35" s="17" t="n"/>
      <c r="O35" s="18" t="n">
        <v>0.98</v>
      </c>
      <c r="P35" s="19">
        <f>IF(N35="","",IF(N35&gt;=O35,"CUMPLE","NO CUMPLE"))</f>
        <v/>
      </c>
      <c r="Q35" s="17" t="n"/>
      <c r="R35" s="18" t="n">
        <v>0.9</v>
      </c>
      <c r="S35" s="19">
        <f>IF(Q35="","",IF(Q35&gt;=R35,"CUMPLE","NO CUMPLE"))</f>
        <v/>
      </c>
      <c r="T35" s="20" t="n"/>
      <c r="U35" s="21" t="n">
        <v>410</v>
      </c>
      <c r="V35" s="19">
        <f>IF(T35="","",IF(T35&lt;=U35,"CUMPLE","NO CUMPLE"))</f>
        <v/>
      </c>
      <c r="W35" s="17" t="n"/>
      <c r="X35" s="18" t="n">
        <v>0.05</v>
      </c>
      <c r="Y35" s="19">
        <f>IF(W35="","",IF(W35&lt;=X35,"CUMPLE","NO CUMPLE"))</f>
        <v/>
      </c>
      <c r="Z35" s="17" t="n"/>
      <c r="AA35" s="18" t="n">
        <v>0.03</v>
      </c>
      <c r="AB35" s="19">
        <f>IF(Z35="","",IF(Z35&lt;=AA35,"CUMPLE","NO CUMPLE"))</f>
        <v/>
      </c>
      <c r="AC35" s="17" t="n"/>
      <c r="AD35" s="18" t="n">
        <v>0.02</v>
      </c>
      <c r="AE35" s="19">
        <f>IF(AC35="","",IF(AC35&lt;=AD35,"CUMPLE","NO CUMPLE"))</f>
        <v/>
      </c>
      <c r="AF35" s="17" t="n"/>
      <c r="AG35" s="18" t="n">
        <v>0.05</v>
      </c>
      <c r="AH35" s="19">
        <f>IF(AF35="","",IF(AF35&lt;=AG35,"CUMPLE","NO CUMPLE"))</f>
        <v/>
      </c>
      <c r="AI35" s="22" t="n"/>
      <c r="AJ35" s="22" t="n"/>
    </row>
    <row r="36">
      <c r="A36" s="13" t="inlineStr">
        <is>
          <t>1052954536</t>
        </is>
      </c>
      <c r="B36" s="14" t="inlineStr">
        <is>
          <t>CAMPUZANO PERALTA KATY ELISA</t>
        </is>
      </c>
      <c r="C36" s="15" t="inlineStr">
        <is>
          <t>INBOUND</t>
        </is>
      </c>
      <c r="D36" s="16" t="inlineStr">
        <is>
          <t>ORTIZ CODINA JESUS ANTONIO</t>
        </is>
      </c>
      <c r="E36" s="17" t="n"/>
      <c r="F36" s="23" t="n">
        <v>0.95</v>
      </c>
      <c r="G36" s="19">
        <f>IF(E36="","",IF(E36&gt;=F36,"CUMPLE","NO CUMPLE"))</f>
        <v/>
      </c>
      <c r="H36" s="17" t="n"/>
      <c r="I36" s="23" t="n">
        <v>0.9</v>
      </c>
      <c r="J36" s="19">
        <f>IF(H36="","",IF(H36&gt;=I36,"CUMPLE","NO CUMPLE"))</f>
        <v/>
      </c>
      <c r="K36" s="17" t="n"/>
      <c r="L36" s="23" t="n">
        <v>0.8</v>
      </c>
      <c r="M36" s="19">
        <f>IF(K36="","",IF(K36&gt;=L36,"CUMPLE","NO CUMPLE"))</f>
        <v/>
      </c>
      <c r="N36" s="17" t="n"/>
      <c r="O36" s="23" t="n">
        <v>0.98</v>
      </c>
      <c r="P36" s="19">
        <f>IF(N36="","",IF(N36&gt;=O36,"CUMPLE","NO CUMPLE"))</f>
        <v/>
      </c>
      <c r="Q36" s="17" t="n"/>
      <c r="R36" s="23" t="n">
        <v>0.9</v>
      </c>
      <c r="S36" s="19">
        <f>IF(Q36="","",IF(Q36&gt;=R36,"CUMPLE","NO CUMPLE"))</f>
        <v/>
      </c>
      <c r="T36" s="20" t="n"/>
      <c r="U36" s="24" t="n">
        <v>410</v>
      </c>
      <c r="V36" s="19">
        <f>IF(T36="","",IF(T36&lt;=U36,"CUMPLE","NO CUMPLE"))</f>
        <v/>
      </c>
      <c r="W36" s="17" t="n"/>
      <c r="X36" s="23" t="n">
        <v>0.05</v>
      </c>
      <c r="Y36" s="19">
        <f>IF(W36="","",IF(W36&lt;=X36,"CUMPLE","NO CUMPLE"))</f>
        <v/>
      </c>
      <c r="Z36" s="17" t="n"/>
      <c r="AA36" s="23" t="n">
        <v>0.03</v>
      </c>
      <c r="AB36" s="19">
        <f>IF(Z36="","",IF(Z36&lt;=AA36,"CUMPLE","NO CUMPLE"))</f>
        <v/>
      </c>
      <c r="AC36" s="17" t="n"/>
      <c r="AD36" s="23" t="n">
        <v>0.02</v>
      </c>
      <c r="AE36" s="19">
        <f>IF(AC36="","",IF(AC36&lt;=AD36,"CUMPLE","NO CUMPLE"))</f>
        <v/>
      </c>
      <c r="AF36" s="17" t="n"/>
      <c r="AG36" s="23" t="n">
        <v>0.05</v>
      </c>
      <c r="AH36" s="19">
        <f>IF(AF36="","",IF(AF36&lt;=AG36,"CUMPLE","NO CUMPLE"))</f>
        <v/>
      </c>
      <c r="AI36" s="22" t="n"/>
      <c r="AJ36" s="22" t="n"/>
    </row>
    <row r="37">
      <c r="A37" s="13" t="inlineStr">
        <is>
          <t>1014292708</t>
        </is>
      </c>
      <c r="B37" s="14" t="inlineStr">
        <is>
          <t>DIAZ PEREZ JHON ALEXANDER</t>
        </is>
      </c>
      <c r="C37" s="15" t="inlineStr">
        <is>
          <t>INBOUND</t>
        </is>
      </c>
      <c r="D37" s="16" t="inlineStr">
        <is>
          <t>ORTIZ CODINA JESUS ANTONIO</t>
        </is>
      </c>
      <c r="E37" s="17" t="n"/>
      <c r="F37" s="18" t="n">
        <v>0.95</v>
      </c>
      <c r="G37" s="19">
        <f>IF(E37="","",IF(E37&gt;=F37,"CUMPLE","NO CUMPLE"))</f>
        <v/>
      </c>
      <c r="H37" s="17" t="n"/>
      <c r="I37" s="18" t="n">
        <v>0.9</v>
      </c>
      <c r="J37" s="19">
        <f>IF(H37="","",IF(H37&gt;=I37,"CUMPLE","NO CUMPLE"))</f>
        <v/>
      </c>
      <c r="K37" s="17" t="n"/>
      <c r="L37" s="18" t="n">
        <v>0.8</v>
      </c>
      <c r="M37" s="19">
        <f>IF(K37="","",IF(K37&gt;=L37,"CUMPLE","NO CUMPLE"))</f>
        <v/>
      </c>
      <c r="N37" s="17" t="n"/>
      <c r="O37" s="18" t="n">
        <v>0.98</v>
      </c>
      <c r="P37" s="19">
        <f>IF(N37="","",IF(N37&gt;=O37,"CUMPLE","NO CUMPLE"))</f>
        <v/>
      </c>
      <c r="Q37" s="17" t="n"/>
      <c r="R37" s="18" t="n">
        <v>0.9</v>
      </c>
      <c r="S37" s="19">
        <f>IF(Q37="","",IF(Q37&gt;=R37,"CUMPLE","NO CUMPLE"))</f>
        <v/>
      </c>
      <c r="T37" s="20" t="n"/>
      <c r="U37" s="21" t="n">
        <v>410</v>
      </c>
      <c r="V37" s="19">
        <f>IF(T37="","",IF(T37&lt;=U37,"CUMPLE","NO CUMPLE"))</f>
        <v/>
      </c>
      <c r="W37" s="17" t="n"/>
      <c r="X37" s="18" t="n">
        <v>0.05</v>
      </c>
      <c r="Y37" s="19">
        <f>IF(W37="","",IF(W37&lt;=X37,"CUMPLE","NO CUMPLE"))</f>
        <v/>
      </c>
      <c r="Z37" s="17" t="n"/>
      <c r="AA37" s="18" t="n">
        <v>0.03</v>
      </c>
      <c r="AB37" s="19">
        <f>IF(Z37="","",IF(Z37&lt;=AA37,"CUMPLE","NO CUMPLE"))</f>
        <v/>
      </c>
      <c r="AC37" s="17" t="n"/>
      <c r="AD37" s="18" t="n">
        <v>0.02</v>
      </c>
      <c r="AE37" s="19">
        <f>IF(AC37="","",IF(AC37&lt;=AD37,"CUMPLE","NO CUMPLE"))</f>
        <v/>
      </c>
      <c r="AF37" s="17" t="n"/>
      <c r="AG37" s="18" t="n">
        <v>0.05</v>
      </c>
      <c r="AH37" s="19">
        <f>IF(AF37="","",IF(AF37&lt;=AG37,"CUMPLE","NO CUMPLE"))</f>
        <v/>
      </c>
      <c r="AI37" s="22" t="n"/>
      <c r="AJ37" s="22" t="n"/>
    </row>
    <row r="38">
      <c r="A38" s="13" t="inlineStr">
        <is>
          <t>1055916745</t>
        </is>
      </c>
      <c r="B38" s="14" t="inlineStr">
        <is>
          <t>EGUIS BENJUMEA JEINER JOSE</t>
        </is>
      </c>
      <c r="C38" s="15" t="inlineStr">
        <is>
          <t>INBOUND</t>
        </is>
      </c>
      <c r="D38" s="16" t="inlineStr">
        <is>
          <t>ORTIZ CODINA JESUS ANTONIO</t>
        </is>
      </c>
      <c r="E38" s="17" t="n"/>
      <c r="F38" s="23" t="n">
        <v>0.95</v>
      </c>
      <c r="G38" s="19">
        <f>IF(E38="","",IF(E38&gt;=F38,"CUMPLE","NO CUMPLE"))</f>
        <v/>
      </c>
      <c r="H38" s="17" t="n"/>
      <c r="I38" s="23" t="n">
        <v>0.9</v>
      </c>
      <c r="J38" s="19">
        <f>IF(H38="","",IF(H38&gt;=I38,"CUMPLE","NO CUMPLE"))</f>
        <v/>
      </c>
      <c r="K38" s="17" t="n"/>
      <c r="L38" s="23" t="n">
        <v>0.8</v>
      </c>
      <c r="M38" s="19">
        <f>IF(K38="","",IF(K38&gt;=L38,"CUMPLE","NO CUMPLE"))</f>
        <v/>
      </c>
      <c r="N38" s="17" t="n"/>
      <c r="O38" s="23" t="n">
        <v>0.98</v>
      </c>
      <c r="P38" s="19">
        <f>IF(N38="","",IF(N38&gt;=O38,"CUMPLE","NO CUMPLE"))</f>
        <v/>
      </c>
      <c r="Q38" s="17" t="n"/>
      <c r="R38" s="23" t="n">
        <v>0.9</v>
      </c>
      <c r="S38" s="19">
        <f>IF(Q38="","",IF(Q38&gt;=R38,"CUMPLE","NO CUMPLE"))</f>
        <v/>
      </c>
      <c r="T38" s="20" t="n"/>
      <c r="U38" s="24" t="n">
        <v>410</v>
      </c>
      <c r="V38" s="19">
        <f>IF(T38="","",IF(T38&lt;=U38,"CUMPLE","NO CUMPLE"))</f>
        <v/>
      </c>
      <c r="W38" s="17" t="n"/>
      <c r="X38" s="23" t="n">
        <v>0.05</v>
      </c>
      <c r="Y38" s="19">
        <f>IF(W38="","",IF(W38&lt;=X38,"CUMPLE","NO CUMPLE"))</f>
        <v/>
      </c>
      <c r="Z38" s="17" t="n"/>
      <c r="AA38" s="23" t="n">
        <v>0.03</v>
      </c>
      <c r="AB38" s="19">
        <f>IF(Z38="","",IF(Z38&lt;=AA38,"CUMPLE","NO CUMPLE"))</f>
        <v/>
      </c>
      <c r="AC38" s="17" t="n"/>
      <c r="AD38" s="23" t="n">
        <v>0.02</v>
      </c>
      <c r="AE38" s="19">
        <f>IF(AC38="","",IF(AC38&lt;=AD38,"CUMPLE","NO CUMPLE"))</f>
        <v/>
      </c>
      <c r="AF38" s="17" t="n"/>
      <c r="AG38" s="23" t="n">
        <v>0.05</v>
      </c>
      <c r="AH38" s="19">
        <f>IF(AF38="","",IF(AF38&lt;=AG38,"CUMPLE","NO CUMPLE"))</f>
        <v/>
      </c>
      <c r="AI38" s="22" t="n"/>
      <c r="AJ38" s="22" t="n"/>
    </row>
    <row r="39">
      <c r="A39" s="13" t="inlineStr">
        <is>
          <t>1000689412</t>
        </is>
      </c>
      <c r="B39" s="14" t="inlineStr">
        <is>
          <t>FORERO SANCHEZ BRAYAN CAMILO</t>
        </is>
      </c>
      <c r="C39" s="15" t="inlineStr">
        <is>
          <t>INBOUND</t>
        </is>
      </c>
      <c r="D39" s="16" t="inlineStr">
        <is>
          <t>ORTIZ CODINA JESUS ANTONIO</t>
        </is>
      </c>
      <c r="E39" s="17" t="n"/>
      <c r="F39" s="18" t="n">
        <v>0.95</v>
      </c>
      <c r="G39" s="19">
        <f>IF(E39="","",IF(E39&gt;=F39,"CUMPLE","NO CUMPLE"))</f>
        <v/>
      </c>
      <c r="H39" s="17" t="n"/>
      <c r="I39" s="18" t="n">
        <v>0.9</v>
      </c>
      <c r="J39" s="19">
        <f>IF(H39="","",IF(H39&gt;=I39,"CUMPLE","NO CUMPLE"))</f>
        <v/>
      </c>
      <c r="K39" s="17" t="n"/>
      <c r="L39" s="18" t="n">
        <v>0.8</v>
      </c>
      <c r="M39" s="19">
        <f>IF(K39="","",IF(K39&gt;=L39,"CUMPLE","NO CUMPLE"))</f>
        <v/>
      </c>
      <c r="N39" s="17" t="n"/>
      <c r="O39" s="18" t="n">
        <v>0.98</v>
      </c>
      <c r="P39" s="19">
        <f>IF(N39="","",IF(N39&gt;=O39,"CUMPLE","NO CUMPLE"))</f>
        <v/>
      </c>
      <c r="Q39" s="17" t="n"/>
      <c r="R39" s="18" t="n">
        <v>0.9</v>
      </c>
      <c r="S39" s="19">
        <f>IF(Q39="","",IF(Q39&gt;=R39,"CUMPLE","NO CUMPLE"))</f>
        <v/>
      </c>
      <c r="T39" s="20" t="n"/>
      <c r="U39" s="21" t="n">
        <v>410</v>
      </c>
      <c r="V39" s="19">
        <f>IF(T39="","",IF(T39&lt;=U39,"CUMPLE","NO CUMPLE"))</f>
        <v/>
      </c>
      <c r="W39" s="17" t="n"/>
      <c r="X39" s="18" t="n">
        <v>0.05</v>
      </c>
      <c r="Y39" s="19">
        <f>IF(W39="","",IF(W39&lt;=X39,"CUMPLE","NO CUMPLE"))</f>
        <v/>
      </c>
      <c r="Z39" s="17" t="n"/>
      <c r="AA39" s="18" t="n">
        <v>0.03</v>
      </c>
      <c r="AB39" s="19">
        <f>IF(Z39="","",IF(Z39&lt;=AA39,"CUMPLE","NO CUMPLE"))</f>
        <v/>
      </c>
      <c r="AC39" s="17" t="n"/>
      <c r="AD39" s="18" t="n">
        <v>0.02</v>
      </c>
      <c r="AE39" s="19">
        <f>IF(AC39="","",IF(AC39&lt;=AD39,"CUMPLE","NO CUMPLE"))</f>
        <v/>
      </c>
      <c r="AF39" s="17" t="n"/>
      <c r="AG39" s="18" t="n">
        <v>0.05</v>
      </c>
      <c r="AH39" s="19">
        <f>IF(AF39="","",IF(AF39&lt;=AG39,"CUMPLE","NO CUMPLE"))</f>
        <v/>
      </c>
      <c r="AI39" s="22" t="n"/>
      <c r="AJ39" s="22" t="n"/>
    </row>
    <row r="40">
      <c r="A40" s="13" t="inlineStr">
        <is>
          <t>53007877</t>
        </is>
      </c>
      <c r="B40" s="14" t="inlineStr">
        <is>
          <t>HERNANDEZ BARRERA ANA MARIA</t>
        </is>
      </c>
      <c r="C40" s="15" t="inlineStr">
        <is>
          <t>INBOUND</t>
        </is>
      </c>
      <c r="D40" s="16" t="inlineStr">
        <is>
          <t>ORTIZ CODINA JESUS ANTONIO</t>
        </is>
      </c>
      <c r="E40" s="17" t="n"/>
      <c r="F40" s="23" t="n">
        <v>0.95</v>
      </c>
      <c r="G40" s="19">
        <f>IF(E40="","",IF(E40&gt;=F40,"CUMPLE","NO CUMPLE"))</f>
        <v/>
      </c>
      <c r="H40" s="17" t="n"/>
      <c r="I40" s="23" t="n">
        <v>0.9</v>
      </c>
      <c r="J40" s="19">
        <f>IF(H40="","",IF(H40&gt;=I40,"CUMPLE","NO CUMPLE"))</f>
        <v/>
      </c>
      <c r="K40" s="17" t="n"/>
      <c r="L40" s="23" t="n">
        <v>0.8</v>
      </c>
      <c r="M40" s="19">
        <f>IF(K40="","",IF(K40&gt;=L40,"CUMPLE","NO CUMPLE"))</f>
        <v/>
      </c>
      <c r="N40" s="17" t="n"/>
      <c r="O40" s="23" t="n">
        <v>0.98</v>
      </c>
      <c r="P40" s="19">
        <f>IF(N40="","",IF(N40&gt;=O40,"CUMPLE","NO CUMPLE"))</f>
        <v/>
      </c>
      <c r="Q40" s="17" t="n"/>
      <c r="R40" s="23" t="n">
        <v>0.9</v>
      </c>
      <c r="S40" s="19">
        <f>IF(Q40="","",IF(Q40&gt;=R40,"CUMPLE","NO CUMPLE"))</f>
        <v/>
      </c>
      <c r="T40" s="20" t="n"/>
      <c r="U40" s="24" t="n">
        <v>410</v>
      </c>
      <c r="V40" s="19">
        <f>IF(T40="","",IF(T40&lt;=U40,"CUMPLE","NO CUMPLE"))</f>
        <v/>
      </c>
      <c r="W40" s="17" t="n"/>
      <c r="X40" s="23" t="n">
        <v>0.05</v>
      </c>
      <c r="Y40" s="19">
        <f>IF(W40="","",IF(W40&lt;=X40,"CUMPLE","NO CUMPLE"))</f>
        <v/>
      </c>
      <c r="Z40" s="17" t="n"/>
      <c r="AA40" s="23" t="n">
        <v>0.03</v>
      </c>
      <c r="AB40" s="19">
        <f>IF(Z40="","",IF(Z40&lt;=AA40,"CUMPLE","NO CUMPLE"))</f>
        <v/>
      </c>
      <c r="AC40" s="17" t="n"/>
      <c r="AD40" s="23" t="n">
        <v>0.02</v>
      </c>
      <c r="AE40" s="19">
        <f>IF(AC40="","",IF(AC40&lt;=AD40,"CUMPLE","NO CUMPLE"))</f>
        <v/>
      </c>
      <c r="AF40" s="17" t="n"/>
      <c r="AG40" s="23" t="n">
        <v>0.05</v>
      </c>
      <c r="AH40" s="19">
        <f>IF(AF40="","",IF(AF40&lt;=AG40,"CUMPLE","NO CUMPLE"))</f>
        <v/>
      </c>
      <c r="AI40" s="22" t="n"/>
      <c r="AJ40" s="22" t="n"/>
    </row>
    <row r="41">
      <c r="A41" s="13" t="inlineStr">
        <is>
          <t>1083693877</t>
        </is>
      </c>
      <c r="B41" s="14" t="inlineStr">
        <is>
          <t>MEJIA GARCIA MARIA DEL CARMEN</t>
        </is>
      </c>
      <c r="C41" s="15" t="inlineStr">
        <is>
          <t>INBOUND</t>
        </is>
      </c>
      <c r="D41" s="16" t="inlineStr">
        <is>
          <t>ORTIZ CODINA JESUS ANTONIO</t>
        </is>
      </c>
      <c r="E41" s="17" t="n"/>
      <c r="F41" s="18" t="n">
        <v>0.95</v>
      </c>
      <c r="G41" s="19">
        <f>IF(E41="","",IF(E41&gt;=F41,"CUMPLE","NO CUMPLE"))</f>
        <v/>
      </c>
      <c r="H41" s="17" t="n"/>
      <c r="I41" s="18" t="n">
        <v>0.9</v>
      </c>
      <c r="J41" s="19">
        <f>IF(H41="","",IF(H41&gt;=I41,"CUMPLE","NO CUMPLE"))</f>
        <v/>
      </c>
      <c r="K41" s="17" t="n"/>
      <c r="L41" s="18" t="n">
        <v>0.8</v>
      </c>
      <c r="M41" s="19">
        <f>IF(K41="","",IF(K41&gt;=L41,"CUMPLE","NO CUMPLE"))</f>
        <v/>
      </c>
      <c r="N41" s="17" t="n"/>
      <c r="O41" s="18" t="n">
        <v>0.98</v>
      </c>
      <c r="P41" s="19">
        <f>IF(N41="","",IF(N41&gt;=O41,"CUMPLE","NO CUMPLE"))</f>
        <v/>
      </c>
      <c r="Q41" s="17" t="n"/>
      <c r="R41" s="18" t="n">
        <v>0.9</v>
      </c>
      <c r="S41" s="19">
        <f>IF(Q41="","",IF(Q41&gt;=R41,"CUMPLE","NO CUMPLE"))</f>
        <v/>
      </c>
      <c r="T41" s="20" t="n"/>
      <c r="U41" s="21" t="n">
        <v>410</v>
      </c>
      <c r="V41" s="19">
        <f>IF(T41="","",IF(T41&lt;=U41,"CUMPLE","NO CUMPLE"))</f>
        <v/>
      </c>
      <c r="W41" s="17" t="n"/>
      <c r="X41" s="18" t="n">
        <v>0.05</v>
      </c>
      <c r="Y41" s="19">
        <f>IF(W41="","",IF(W41&lt;=X41,"CUMPLE","NO CUMPLE"))</f>
        <v/>
      </c>
      <c r="Z41" s="17" t="n"/>
      <c r="AA41" s="18" t="n">
        <v>0.03</v>
      </c>
      <c r="AB41" s="19">
        <f>IF(Z41="","",IF(Z41&lt;=AA41,"CUMPLE","NO CUMPLE"))</f>
        <v/>
      </c>
      <c r="AC41" s="17" t="n"/>
      <c r="AD41" s="18" t="n">
        <v>0.02</v>
      </c>
      <c r="AE41" s="19">
        <f>IF(AC41="","",IF(AC41&lt;=AD41,"CUMPLE","NO CUMPLE"))</f>
        <v/>
      </c>
      <c r="AF41" s="17" t="n"/>
      <c r="AG41" s="18" t="n">
        <v>0.05</v>
      </c>
      <c r="AH41" s="19">
        <f>IF(AF41="","",IF(AF41&lt;=AG41,"CUMPLE","NO CUMPLE"))</f>
        <v/>
      </c>
      <c r="AI41" s="22" t="n"/>
      <c r="AJ41" s="22" t="n"/>
    </row>
    <row r="42">
      <c r="A42" s="13" t="inlineStr">
        <is>
          <t>1074486893</t>
        </is>
      </c>
      <c r="B42" s="14" t="inlineStr">
        <is>
          <t>PALOMO QUINCHE MARIA FERNANDA</t>
        </is>
      </c>
      <c r="C42" s="15" t="inlineStr">
        <is>
          <t>INBOUND</t>
        </is>
      </c>
      <c r="D42" s="16" t="inlineStr">
        <is>
          <t>ORTIZ CODINA JESUS ANTONIO</t>
        </is>
      </c>
      <c r="E42" s="17" t="n"/>
      <c r="F42" s="23" t="n">
        <v>0.95</v>
      </c>
      <c r="G42" s="19">
        <f>IF(E42="","",IF(E42&gt;=F42,"CUMPLE","NO CUMPLE"))</f>
        <v/>
      </c>
      <c r="H42" s="17" t="n"/>
      <c r="I42" s="23" t="n">
        <v>0.9</v>
      </c>
      <c r="J42" s="19">
        <f>IF(H42="","",IF(H42&gt;=I42,"CUMPLE","NO CUMPLE"))</f>
        <v/>
      </c>
      <c r="K42" s="17" t="n"/>
      <c r="L42" s="23" t="n">
        <v>0.8</v>
      </c>
      <c r="M42" s="19">
        <f>IF(K42="","",IF(K42&gt;=L42,"CUMPLE","NO CUMPLE"))</f>
        <v/>
      </c>
      <c r="N42" s="17" t="n"/>
      <c r="O42" s="23" t="n">
        <v>0.98</v>
      </c>
      <c r="P42" s="19">
        <f>IF(N42="","",IF(N42&gt;=O42,"CUMPLE","NO CUMPLE"))</f>
        <v/>
      </c>
      <c r="Q42" s="17" t="n"/>
      <c r="R42" s="23" t="n">
        <v>0.9</v>
      </c>
      <c r="S42" s="19">
        <f>IF(Q42="","",IF(Q42&gt;=R42,"CUMPLE","NO CUMPLE"))</f>
        <v/>
      </c>
      <c r="T42" s="20" t="n"/>
      <c r="U42" s="24" t="n">
        <v>410</v>
      </c>
      <c r="V42" s="19">
        <f>IF(T42="","",IF(T42&lt;=U42,"CUMPLE","NO CUMPLE"))</f>
        <v/>
      </c>
      <c r="W42" s="17" t="n"/>
      <c r="X42" s="23" t="n">
        <v>0.05</v>
      </c>
      <c r="Y42" s="19">
        <f>IF(W42="","",IF(W42&lt;=X42,"CUMPLE","NO CUMPLE"))</f>
        <v/>
      </c>
      <c r="Z42" s="17" t="n"/>
      <c r="AA42" s="23" t="n">
        <v>0.03</v>
      </c>
      <c r="AB42" s="19">
        <f>IF(Z42="","",IF(Z42&lt;=AA42,"CUMPLE","NO CUMPLE"))</f>
        <v/>
      </c>
      <c r="AC42" s="17" t="n"/>
      <c r="AD42" s="23" t="n">
        <v>0.02</v>
      </c>
      <c r="AE42" s="19">
        <f>IF(AC42="","",IF(AC42&lt;=AD42,"CUMPLE","NO CUMPLE"))</f>
        <v/>
      </c>
      <c r="AF42" s="17" t="n"/>
      <c r="AG42" s="23" t="n">
        <v>0.05</v>
      </c>
      <c r="AH42" s="19">
        <f>IF(AF42="","",IF(AF42&lt;=AG42,"CUMPLE","NO CUMPLE"))</f>
        <v/>
      </c>
      <c r="AI42" s="22" t="n"/>
      <c r="AJ42" s="22" t="n"/>
    </row>
    <row r="43">
      <c r="A43" s="13" t="inlineStr">
        <is>
          <t>1018421440</t>
        </is>
      </c>
      <c r="B43" s="14" t="inlineStr">
        <is>
          <t>RAMIREZ GAVIRIA JORGE EDUARDO</t>
        </is>
      </c>
      <c r="C43" s="15" t="inlineStr">
        <is>
          <t>INBOUND</t>
        </is>
      </c>
      <c r="D43" s="16" t="inlineStr">
        <is>
          <t>ORTIZ CODINA JESUS ANTONIO</t>
        </is>
      </c>
      <c r="E43" s="17" t="n"/>
      <c r="F43" s="18" t="n">
        <v>0.95</v>
      </c>
      <c r="G43" s="19">
        <f>IF(E43="","",IF(E43&gt;=F43,"CUMPLE","NO CUMPLE"))</f>
        <v/>
      </c>
      <c r="H43" s="17" t="n"/>
      <c r="I43" s="18" t="n">
        <v>0.9</v>
      </c>
      <c r="J43" s="19">
        <f>IF(H43="","",IF(H43&gt;=I43,"CUMPLE","NO CUMPLE"))</f>
        <v/>
      </c>
      <c r="K43" s="17" t="n"/>
      <c r="L43" s="18" t="n">
        <v>0.8</v>
      </c>
      <c r="M43" s="19">
        <f>IF(K43="","",IF(K43&gt;=L43,"CUMPLE","NO CUMPLE"))</f>
        <v/>
      </c>
      <c r="N43" s="17" t="n"/>
      <c r="O43" s="18" t="n">
        <v>0.98</v>
      </c>
      <c r="P43" s="19">
        <f>IF(N43="","",IF(N43&gt;=O43,"CUMPLE","NO CUMPLE"))</f>
        <v/>
      </c>
      <c r="Q43" s="17" t="n"/>
      <c r="R43" s="18" t="n">
        <v>0.9</v>
      </c>
      <c r="S43" s="19">
        <f>IF(Q43="","",IF(Q43&gt;=R43,"CUMPLE","NO CUMPLE"))</f>
        <v/>
      </c>
      <c r="T43" s="20" t="n"/>
      <c r="U43" s="21" t="n">
        <v>410</v>
      </c>
      <c r="V43" s="19">
        <f>IF(T43="","",IF(T43&lt;=U43,"CUMPLE","NO CUMPLE"))</f>
        <v/>
      </c>
      <c r="W43" s="17" t="n"/>
      <c r="X43" s="18" t="n">
        <v>0.05</v>
      </c>
      <c r="Y43" s="19">
        <f>IF(W43="","",IF(W43&lt;=X43,"CUMPLE","NO CUMPLE"))</f>
        <v/>
      </c>
      <c r="Z43" s="17" t="n"/>
      <c r="AA43" s="18" t="n">
        <v>0.03</v>
      </c>
      <c r="AB43" s="19">
        <f>IF(Z43="","",IF(Z43&lt;=AA43,"CUMPLE","NO CUMPLE"))</f>
        <v/>
      </c>
      <c r="AC43" s="17" t="n"/>
      <c r="AD43" s="18" t="n">
        <v>0.02</v>
      </c>
      <c r="AE43" s="19">
        <f>IF(AC43="","",IF(AC43&lt;=AD43,"CUMPLE","NO CUMPLE"))</f>
        <v/>
      </c>
      <c r="AF43" s="17" t="n"/>
      <c r="AG43" s="18" t="n">
        <v>0.05</v>
      </c>
      <c r="AH43" s="19">
        <f>IF(AF43="","",IF(AF43&lt;=AG43,"CUMPLE","NO CUMPLE"))</f>
        <v/>
      </c>
      <c r="AI43" s="22" t="n"/>
      <c r="AJ43" s="22" t="n"/>
    </row>
    <row r="44">
      <c r="A44" s="13" t="inlineStr">
        <is>
          <t>1011089465</t>
        </is>
      </c>
      <c r="B44" s="14" t="inlineStr">
        <is>
          <t>VARGAS LINARES PAULA VALENTINA</t>
        </is>
      </c>
      <c r="C44" s="15" t="inlineStr">
        <is>
          <t>INBOUND</t>
        </is>
      </c>
      <c r="D44" s="16" t="inlineStr">
        <is>
          <t>ORTIZ CODINA JESUS ANTONIO</t>
        </is>
      </c>
      <c r="E44" s="17" t="n"/>
      <c r="F44" s="23" t="n">
        <v>0.95</v>
      </c>
      <c r="G44" s="19">
        <f>IF(E44="","",IF(E44&gt;=F44,"CUMPLE","NO CUMPLE"))</f>
        <v/>
      </c>
      <c r="H44" s="17" t="n"/>
      <c r="I44" s="23" t="n">
        <v>0.9</v>
      </c>
      <c r="J44" s="19">
        <f>IF(H44="","",IF(H44&gt;=I44,"CUMPLE","NO CUMPLE"))</f>
        <v/>
      </c>
      <c r="K44" s="17" t="n"/>
      <c r="L44" s="23" t="n">
        <v>0.8</v>
      </c>
      <c r="M44" s="19">
        <f>IF(K44="","",IF(K44&gt;=L44,"CUMPLE","NO CUMPLE"))</f>
        <v/>
      </c>
      <c r="N44" s="17" t="n"/>
      <c r="O44" s="23" t="n">
        <v>0.98</v>
      </c>
      <c r="P44" s="19">
        <f>IF(N44="","",IF(N44&gt;=O44,"CUMPLE","NO CUMPLE"))</f>
        <v/>
      </c>
      <c r="Q44" s="17" t="n"/>
      <c r="R44" s="23" t="n">
        <v>0.9</v>
      </c>
      <c r="S44" s="19">
        <f>IF(Q44="","",IF(Q44&gt;=R44,"CUMPLE","NO CUMPLE"))</f>
        <v/>
      </c>
      <c r="T44" s="20" t="n"/>
      <c r="U44" s="24" t="n">
        <v>410</v>
      </c>
      <c r="V44" s="19">
        <f>IF(T44="","",IF(T44&lt;=U44,"CUMPLE","NO CUMPLE"))</f>
        <v/>
      </c>
      <c r="W44" s="17" t="n"/>
      <c r="X44" s="23" t="n">
        <v>0.05</v>
      </c>
      <c r="Y44" s="19">
        <f>IF(W44="","",IF(W44&lt;=X44,"CUMPLE","NO CUMPLE"))</f>
        <v/>
      </c>
      <c r="Z44" s="17" t="n"/>
      <c r="AA44" s="23" t="n">
        <v>0.03</v>
      </c>
      <c r="AB44" s="19">
        <f>IF(Z44="","",IF(Z44&lt;=AA44,"CUMPLE","NO CUMPLE"))</f>
        <v/>
      </c>
      <c r="AC44" s="17" t="n"/>
      <c r="AD44" s="23" t="n">
        <v>0.02</v>
      </c>
      <c r="AE44" s="19">
        <f>IF(AC44="","",IF(AC44&lt;=AD44,"CUMPLE","NO CUMPLE"))</f>
        <v/>
      </c>
      <c r="AF44" s="17" t="n"/>
      <c r="AG44" s="23" t="n">
        <v>0.05</v>
      </c>
      <c r="AH44" s="19">
        <f>IF(AF44="","",IF(AF44&lt;=AG44,"CUMPLE","NO CUMPLE"))</f>
        <v/>
      </c>
      <c r="AI44" s="22" t="n"/>
      <c r="AJ44" s="22" t="n"/>
    </row>
    <row r="45">
      <c r="A45" s="13" t="inlineStr">
        <is>
          <t>1032490695</t>
        </is>
      </c>
      <c r="B45" s="14" t="inlineStr">
        <is>
          <t>VIVAS GOMEZ CRISTHIAN DANIEL</t>
        </is>
      </c>
      <c r="C45" s="15" t="inlineStr">
        <is>
          <t>INBOUND</t>
        </is>
      </c>
      <c r="D45" s="16" t="inlineStr">
        <is>
          <t>ORTIZ CODINA JESUS ANTONIO</t>
        </is>
      </c>
      <c r="E45" s="17" t="n"/>
      <c r="F45" s="18" t="n">
        <v>0.95</v>
      </c>
      <c r="G45" s="19">
        <f>IF(E45="","",IF(E45&gt;=F45,"CUMPLE","NO CUMPLE"))</f>
        <v/>
      </c>
      <c r="H45" s="17" t="n"/>
      <c r="I45" s="18" t="n">
        <v>0.9</v>
      </c>
      <c r="J45" s="19">
        <f>IF(H45="","",IF(H45&gt;=I45,"CUMPLE","NO CUMPLE"))</f>
        <v/>
      </c>
      <c r="K45" s="17" t="n"/>
      <c r="L45" s="18" t="n">
        <v>0.8</v>
      </c>
      <c r="M45" s="19">
        <f>IF(K45="","",IF(K45&gt;=L45,"CUMPLE","NO CUMPLE"))</f>
        <v/>
      </c>
      <c r="N45" s="17" t="n"/>
      <c r="O45" s="18" t="n">
        <v>0.98</v>
      </c>
      <c r="P45" s="19">
        <f>IF(N45="","",IF(N45&gt;=O45,"CUMPLE","NO CUMPLE"))</f>
        <v/>
      </c>
      <c r="Q45" s="17" t="n"/>
      <c r="R45" s="18" t="n">
        <v>0.9</v>
      </c>
      <c r="S45" s="19">
        <f>IF(Q45="","",IF(Q45&gt;=R45,"CUMPLE","NO CUMPLE"))</f>
        <v/>
      </c>
      <c r="T45" s="20" t="n"/>
      <c r="U45" s="21" t="n">
        <v>410</v>
      </c>
      <c r="V45" s="19">
        <f>IF(T45="","",IF(T45&lt;=U45,"CUMPLE","NO CUMPLE"))</f>
        <v/>
      </c>
      <c r="W45" s="17" t="n"/>
      <c r="X45" s="18" t="n">
        <v>0.05</v>
      </c>
      <c r="Y45" s="19">
        <f>IF(W45="","",IF(W45&lt;=X45,"CUMPLE","NO CUMPLE"))</f>
        <v/>
      </c>
      <c r="Z45" s="17" t="n"/>
      <c r="AA45" s="18" t="n">
        <v>0.03</v>
      </c>
      <c r="AB45" s="19">
        <f>IF(Z45="","",IF(Z45&lt;=AA45,"CUMPLE","NO CUMPLE"))</f>
        <v/>
      </c>
      <c r="AC45" s="17" t="n"/>
      <c r="AD45" s="18" t="n">
        <v>0.02</v>
      </c>
      <c r="AE45" s="19">
        <f>IF(AC45="","",IF(AC45&lt;=AD45,"CUMPLE","NO CUMPLE"))</f>
        <v/>
      </c>
      <c r="AF45" s="17" t="n"/>
      <c r="AG45" s="18" t="n">
        <v>0.05</v>
      </c>
      <c r="AH45" s="19">
        <f>IF(AF45="","",IF(AF45&lt;=AG45,"CUMPLE","NO CUMPLE"))</f>
        <v/>
      </c>
      <c r="AI45" s="22" t="n"/>
      <c r="AJ45" s="22" t="n"/>
    </row>
    <row r="46">
      <c r="A46" s="13" t="inlineStr">
        <is>
          <t>1099217237</t>
        </is>
      </c>
      <c r="B46" s="14" t="inlineStr">
        <is>
          <t>AMAYA SAENZ ELIO</t>
        </is>
      </c>
      <c r="C46" s="15" t="inlineStr"/>
      <c r="D46" s="16" t="inlineStr">
        <is>
          <t>TROCHA MORALES EUDYMAR</t>
        </is>
      </c>
      <c r="E46" s="17" t="n"/>
      <c r="F46" s="23" t="n">
        <v>0.95</v>
      </c>
      <c r="G46" s="19">
        <f>IF(E46="","",IF(E46&gt;=F46,"CUMPLE","NO CUMPLE"))</f>
        <v/>
      </c>
      <c r="H46" s="17" t="n"/>
      <c r="I46" s="23" t="n">
        <v>0.9</v>
      </c>
      <c r="J46" s="19">
        <f>IF(H46="","",IF(H46&gt;=I46,"CUMPLE","NO CUMPLE"))</f>
        <v/>
      </c>
      <c r="K46" s="17" t="n"/>
      <c r="L46" s="23" t="n">
        <v>0.8</v>
      </c>
      <c r="M46" s="19">
        <f>IF(K46="","",IF(K46&gt;=L46,"CUMPLE","NO CUMPLE"))</f>
        <v/>
      </c>
      <c r="N46" s="17" t="n"/>
      <c r="O46" s="23" t="n">
        <v>0.98</v>
      </c>
      <c r="P46" s="19">
        <f>IF(N46="","",IF(N46&gt;=O46,"CUMPLE","NO CUMPLE"))</f>
        <v/>
      </c>
      <c r="Q46" s="17" t="n"/>
      <c r="R46" s="23" t="n">
        <v>0.9</v>
      </c>
      <c r="S46" s="19">
        <f>IF(Q46="","",IF(Q46&gt;=R46,"CUMPLE","NO CUMPLE"))</f>
        <v/>
      </c>
      <c r="T46" s="20" t="n"/>
      <c r="U46" s="24" t="n">
        <v>410</v>
      </c>
      <c r="V46" s="19">
        <f>IF(T46="","",IF(T46&lt;=U46,"CUMPLE","NO CUMPLE"))</f>
        <v/>
      </c>
      <c r="W46" s="17" t="n"/>
      <c r="X46" s="23" t="n">
        <v>0.05</v>
      </c>
      <c r="Y46" s="19">
        <f>IF(W46="","",IF(W46&lt;=X46,"CUMPLE","NO CUMPLE"))</f>
        <v/>
      </c>
      <c r="Z46" s="17" t="n"/>
      <c r="AA46" s="23" t="n">
        <v>0.03</v>
      </c>
      <c r="AB46" s="19">
        <f>IF(Z46="","",IF(Z46&lt;=AA46,"CUMPLE","NO CUMPLE"))</f>
        <v/>
      </c>
      <c r="AC46" s="17" t="n"/>
      <c r="AD46" s="23" t="n">
        <v>0.02</v>
      </c>
      <c r="AE46" s="19">
        <f>IF(AC46="","",IF(AC46&lt;=AD46,"CUMPLE","NO CUMPLE"))</f>
        <v/>
      </c>
      <c r="AF46" s="17" t="n"/>
      <c r="AG46" s="23" t="n">
        <v>0.05</v>
      </c>
      <c r="AH46" s="19">
        <f>IF(AF46="","",IF(AF46&lt;=AG46,"CUMPLE","NO CUMPLE"))</f>
        <v/>
      </c>
      <c r="AI46" s="22" t="n"/>
      <c r="AJ46" s="22" t="n"/>
    </row>
    <row r="47">
      <c r="A47" s="13" t="inlineStr">
        <is>
          <t>1010960671</t>
        </is>
      </c>
      <c r="B47" s="14" t="inlineStr">
        <is>
          <t>BASTIDAS CARDOZO LUNA ALEJANDRA</t>
        </is>
      </c>
      <c r="C47" s="15" t="inlineStr">
        <is>
          <t>INBOUND</t>
        </is>
      </c>
      <c r="D47" s="16" t="inlineStr">
        <is>
          <t>TROCHA MORALES EUDYMAR</t>
        </is>
      </c>
      <c r="E47" s="17" t="n"/>
      <c r="F47" s="18" t="n">
        <v>0.95</v>
      </c>
      <c r="G47" s="19">
        <f>IF(E47="","",IF(E47&gt;=F47,"CUMPLE","NO CUMPLE"))</f>
        <v/>
      </c>
      <c r="H47" s="17" t="n"/>
      <c r="I47" s="18" t="n">
        <v>0.9</v>
      </c>
      <c r="J47" s="19">
        <f>IF(H47="","",IF(H47&gt;=I47,"CUMPLE","NO CUMPLE"))</f>
        <v/>
      </c>
      <c r="K47" s="17" t="n"/>
      <c r="L47" s="18" t="n">
        <v>0.8</v>
      </c>
      <c r="M47" s="19">
        <f>IF(K47="","",IF(K47&gt;=L47,"CUMPLE","NO CUMPLE"))</f>
        <v/>
      </c>
      <c r="N47" s="17" t="n"/>
      <c r="O47" s="18" t="n">
        <v>0.98</v>
      </c>
      <c r="P47" s="19">
        <f>IF(N47="","",IF(N47&gt;=O47,"CUMPLE","NO CUMPLE"))</f>
        <v/>
      </c>
      <c r="Q47" s="17" t="n"/>
      <c r="R47" s="18" t="n">
        <v>0.9</v>
      </c>
      <c r="S47" s="19">
        <f>IF(Q47="","",IF(Q47&gt;=R47,"CUMPLE","NO CUMPLE"))</f>
        <v/>
      </c>
      <c r="T47" s="20" t="n"/>
      <c r="U47" s="21" t="n">
        <v>410</v>
      </c>
      <c r="V47" s="19">
        <f>IF(T47="","",IF(T47&lt;=U47,"CUMPLE","NO CUMPLE"))</f>
        <v/>
      </c>
      <c r="W47" s="17" t="n"/>
      <c r="X47" s="18" t="n">
        <v>0.05</v>
      </c>
      <c r="Y47" s="19">
        <f>IF(W47="","",IF(W47&lt;=X47,"CUMPLE","NO CUMPLE"))</f>
        <v/>
      </c>
      <c r="Z47" s="17" t="n"/>
      <c r="AA47" s="18" t="n">
        <v>0.03</v>
      </c>
      <c r="AB47" s="19">
        <f>IF(Z47="","",IF(Z47&lt;=AA47,"CUMPLE","NO CUMPLE"))</f>
        <v/>
      </c>
      <c r="AC47" s="17" t="n"/>
      <c r="AD47" s="18" t="n">
        <v>0.02</v>
      </c>
      <c r="AE47" s="19">
        <f>IF(AC47="","",IF(AC47&lt;=AD47,"CUMPLE","NO CUMPLE"))</f>
        <v/>
      </c>
      <c r="AF47" s="17" t="n"/>
      <c r="AG47" s="18" t="n">
        <v>0.05</v>
      </c>
      <c r="AH47" s="19">
        <f>IF(AF47="","",IF(AF47&lt;=AG47,"CUMPLE","NO CUMPLE"))</f>
        <v/>
      </c>
      <c r="AI47" s="22" t="n"/>
      <c r="AJ47" s="22" t="n"/>
    </row>
    <row r="48">
      <c r="A48" s="13" t="inlineStr">
        <is>
          <t>1032940824</t>
        </is>
      </c>
      <c r="B48" s="14" t="inlineStr">
        <is>
          <t>CARDOZO DAZA ANDRES</t>
        </is>
      </c>
      <c r="C48" s="15" t="inlineStr">
        <is>
          <t>INBOUND</t>
        </is>
      </c>
      <c r="D48" s="16" t="inlineStr">
        <is>
          <t>TROCHA MORALES EUDYMAR</t>
        </is>
      </c>
      <c r="E48" s="17" t="n"/>
      <c r="F48" s="23" t="n">
        <v>0.95</v>
      </c>
      <c r="G48" s="19">
        <f>IF(E48="","",IF(E48&gt;=F48,"CUMPLE","NO CUMPLE"))</f>
        <v/>
      </c>
      <c r="H48" s="17" t="n"/>
      <c r="I48" s="23" t="n">
        <v>0.9</v>
      </c>
      <c r="J48" s="19">
        <f>IF(H48="","",IF(H48&gt;=I48,"CUMPLE","NO CUMPLE"))</f>
        <v/>
      </c>
      <c r="K48" s="17" t="n"/>
      <c r="L48" s="23" t="n">
        <v>0.8</v>
      </c>
      <c r="M48" s="19">
        <f>IF(K48="","",IF(K48&gt;=L48,"CUMPLE","NO CUMPLE"))</f>
        <v/>
      </c>
      <c r="N48" s="17" t="n"/>
      <c r="O48" s="23" t="n">
        <v>0.98</v>
      </c>
      <c r="P48" s="19">
        <f>IF(N48="","",IF(N48&gt;=O48,"CUMPLE","NO CUMPLE"))</f>
        <v/>
      </c>
      <c r="Q48" s="17" t="n"/>
      <c r="R48" s="23" t="n">
        <v>0.9</v>
      </c>
      <c r="S48" s="19">
        <f>IF(Q48="","",IF(Q48&gt;=R48,"CUMPLE","NO CUMPLE"))</f>
        <v/>
      </c>
      <c r="T48" s="20" t="n"/>
      <c r="U48" s="24" t="n">
        <v>410</v>
      </c>
      <c r="V48" s="19">
        <f>IF(T48="","",IF(T48&lt;=U48,"CUMPLE","NO CUMPLE"))</f>
        <v/>
      </c>
      <c r="W48" s="17" t="n"/>
      <c r="X48" s="23" t="n">
        <v>0.05</v>
      </c>
      <c r="Y48" s="19">
        <f>IF(W48="","",IF(W48&lt;=X48,"CUMPLE","NO CUMPLE"))</f>
        <v/>
      </c>
      <c r="Z48" s="17" t="n"/>
      <c r="AA48" s="23" t="n">
        <v>0.03</v>
      </c>
      <c r="AB48" s="19">
        <f>IF(Z48="","",IF(Z48&lt;=AA48,"CUMPLE","NO CUMPLE"))</f>
        <v/>
      </c>
      <c r="AC48" s="17" t="n"/>
      <c r="AD48" s="23" t="n">
        <v>0.02</v>
      </c>
      <c r="AE48" s="19">
        <f>IF(AC48="","",IF(AC48&lt;=AD48,"CUMPLE","NO CUMPLE"))</f>
        <v/>
      </c>
      <c r="AF48" s="17" t="n"/>
      <c r="AG48" s="23" t="n">
        <v>0.05</v>
      </c>
      <c r="AH48" s="19">
        <f>IF(AF48="","",IF(AF48&lt;=AG48,"CUMPLE","NO CUMPLE"))</f>
        <v/>
      </c>
      <c r="AI48" s="22" t="n"/>
      <c r="AJ48" s="22" t="n"/>
    </row>
    <row r="49">
      <c r="A49" s="13" t="inlineStr">
        <is>
          <t>52129052</t>
        </is>
      </c>
      <c r="B49" s="14" t="inlineStr">
        <is>
          <t>ESTUPIÑAN CACERES FLOR AMALIA</t>
        </is>
      </c>
      <c r="C49" s="15" t="inlineStr">
        <is>
          <t>INBOUND</t>
        </is>
      </c>
      <c r="D49" s="16" t="inlineStr">
        <is>
          <t>TROCHA MORALES EUDYMAR</t>
        </is>
      </c>
      <c r="E49" s="17" t="n"/>
      <c r="F49" s="18" t="n">
        <v>0.95</v>
      </c>
      <c r="G49" s="19">
        <f>IF(E49="","",IF(E49&gt;=F49,"CUMPLE","NO CUMPLE"))</f>
        <v/>
      </c>
      <c r="H49" s="17" t="n"/>
      <c r="I49" s="18" t="n">
        <v>0.9</v>
      </c>
      <c r="J49" s="19">
        <f>IF(H49="","",IF(H49&gt;=I49,"CUMPLE","NO CUMPLE"))</f>
        <v/>
      </c>
      <c r="K49" s="17" t="n"/>
      <c r="L49" s="18" t="n">
        <v>0.8</v>
      </c>
      <c r="M49" s="19">
        <f>IF(K49="","",IF(K49&gt;=L49,"CUMPLE","NO CUMPLE"))</f>
        <v/>
      </c>
      <c r="N49" s="17" t="n"/>
      <c r="O49" s="18" t="n">
        <v>0.98</v>
      </c>
      <c r="P49" s="19">
        <f>IF(N49="","",IF(N49&gt;=O49,"CUMPLE","NO CUMPLE"))</f>
        <v/>
      </c>
      <c r="Q49" s="17" t="n"/>
      <c r="R49" s="18" t="n">
        <v>0.9</v>
      </c>
      <c r="S49" s="19">
        <f>IF(Q49="","",IF(Q49&gt;=R49,"CUMPLE","NO CUMPLE"))</f>
        <v/>
      </c>
      <c r="T49" s="20" t="n"/>
      <c r="U49" s="21" t="n">
        <v>410</v>
      </c>
      <c r="V49" s="19">
        <f>IF(T49="","",IF(T49&lt;=U49,"CUMPLE","NO CUMPLE"))</f>
        <v/>
      </c>
      <c r="W49" s="17" t="n"/>
      <c r="X49" s="18" t="n">
        <v>0.05</v>
      </c>
      <c r="Y49" s="19">
        <f>IF(W49="","",IF(W49&lt;=X49,"CUMPLE","NO CUMPLE"))</f>
        <v/>
      </c>
      <c r="Z49" s="17" t="n"/>
      <c r="AA49" s="18" t="n">
        <v>0.03</v>
      </c>
      <c r="AB49" s="19">
        <f>IF(Z49="","",IF(Z49&lt;=AA49,"CUMPLE","NO CUMPLE"))</f>
        <v/>
      </c>
      <c r="AC49" s="17" t="n"/>
      <c r="AD49" s="18" t="n">
        <v>0.02</v>
      </c>
      <c r="AE49" s="19">
        <f>IF(AC49="","",IF(AC49&lt;=AD49,"CUMPLE","NO CUMPLE"))</f>
        <v/>
      </c>
      <c r="AF49" s="17" t="n"/>
      <c r="AG49" s="18" t="n">
        <v>0.05</v>
      </c>
      <c r="AH49" s="19">
        <f>IF(AF49="","",IF(AF49&lt;=AG49,"CUMPLE","NO CUMPLE"))</f>
        <v/>
      </c>
      <c r="AI49" s="22" t="n"/>
      <c r="AJ49" s="22" t="n"/>
    </row>
    <row r="50">
      <c r="A50" s="13" t="inlineStr">
        <is>
          <t>1001317229</t>
        </is>
      </c>
      <c r="B50" s="14" t="inlineStr">
        <is>
          <t>GONZALES ORTIZ SOFIA NICOL</t>
        </is>
      </c>
      <c r="C50" s="15" t="inlineStr">
        <is>
          <t>INBOUND</t>
        </is>
      </c>
      <c r="D50" s="16" t="inlineStr">
        <is>
          <t>TROCHA MORALES EUDYMAR</t>
        </is>
      </c>
      <c r="E50" s="17" t="n"/>
      <c r="F50" s="23" t="n">
        <v>0.95</v>
      </c>
      <c r="G50" s="19">
        <f>IF(E50="","",IF(E50&gt;=F50,"CUMPLE","NO CUMPLE"))</f>
        <v/>
      </c>
      <c r="H50" s="17" t="n"/>
      <c r="I50" s="23" t="n">
        <v>0.9</v>
      </c>
      <c r="J50" s="19">
        <f>IF(H50="","",IF(H50&gt;=I50,"CUMPLE","NO CUMPLE"))</f>
        <v/>
      </c>
      <c r="K50" s="17" t="n"/>
      <c r="L50" s="23" t="n">
        <v>0.8</v>
      </c>
      <c r="M50" s="19">
        <f>IF(K50="","",IF(K50&gt;=L50,"CUMPLE","NO CUMPLE"))</f>
        <v/>
      </c>
      <c r="N50" s="17" t="n"/>
      <c r="O50" s="23" t="n">
        <v>0.98</v>
      </c>
      <c r="P50" s="19">
        <f>IF(N50="","",IF(N50&gt;=O50,"CUMPLE","NO CUMPLE"))</f>
        <v/>
      </c>
      <c r="Q50" s="17" t="n"/>
      <c r="R50" s="23" t="n">
        <v>0.9</v>
      </c>
      <c r="S50" s="19">
        <f>IF(Q50="","",IF(Q50&gt;=R50,"CUMPLE","NO CUMPLE"))</f>
        <v/>
      </c>
      <c r="T50" s="20" t="n"/>
      <c r="U50" s="24" t="n">
        <v>410</v>
      </c>
      <c r="V50" s="19">
        <f>IF(T50="","",IF(T50&lt;=U50,"CUMPLE","NO CUMPLE"))</f>
        <v/>
      </c>
      <c r="W50" s="17" t="n"/>
      <c r="X50" s="23" t="n">
        <v>0.05</v>
      </c>
      <c r="Y50" s="19">
        <f>IF(W50="","",IF(W50&lt;=X50,"CUMPLE","NO CUMPLE"))</f>
        <v/>
      </c>
      <c r="Z50" s="17" t="n"/>
      <c r="AA50" s="23" t="n">
        <v>0.03</v>
      </c>
      <c r="AB50" s="19">
        <f>IF(Z50="","",IF(Z50&lt;=AA50,"CUMPLE","NO CUMPLE"))</f>
        <v/>
      </c>
      <c r="AC50" s="17" t="n"/>
      <c r="AD50" s="23" t="n">
        <v>0.02</v>
      </c>
      <c r="AE50" s="19">
        <f>IF(AC50="","",IF(AC50&lt;=AD50,"CUMPLE","NO CUMPLE"))</f>
        <v/>
      </c>
      <c r="AF50" s="17" t="n"/>
      <c r="AG50" s="23" t="n">
        <v>0.05</v>
      </c>
      <c r="AH50" s="19">
        <f>IF(AF50="","",IF(AF50&lt;=AG50,"CUMPLE","NO CUMPLE"))</f>
        <v/>
      </c>
      <c r="AI50" s="22" t="n"/>
      <c r="AJ50" s="22" t="n"/>
    </row>
    <row r="51">
      <c r="A51" s="13" t="inlineStr">
        <is>
          <t>1006507935</t>
        </is>
      </c>
      <c r="B51" s="14" t="inlineStr">
        <is>
          <t>MONTALVO COLLAZOS KATERINE</t>
        </is>
      </c>
      <c r="C51" s="15" t="inlineStr">
        <is>
          <t>INBOUND</t>
        </is>
      </c>
      <c r="D51" s="16" t="inlineStr">
        <is>
          <t>TROCHA MORALES EUDYMAR</t>
        </is>
      </c>
      <c r="E51" s="17" t="n"/>
      <c r="F51" s="18" t="n">
        <v>0.95</v>
      </c>
      <c r="G51" s="19">
        <f>IF(E51="","",IF(E51&gt;=F51,"CUMPLE","NO CUMPLE"))</f>
        <v/>
      </c>
      <c r="H51" s="17" t="n"/>
      <c r="I51" s="18" t="n">
        <v>0.9</v>
      </c>
      <c r="J51" s="19">
        <f>IF(H51="","",IF(H51&gt;=I51,"CUMPLE","NO CUMPLE"))</f>
        <v/>
      </c>
      <c r="K51" s="17" t="n"/>
      <c r="L51" s="18" t="n">
        <v>0.8</v>
      </c>
      <c r="M51" s="19">
        <f>IF(K51="","",IF(K51&gt;=L51,"CUMPLE","NO CUMPLE"))</f>
        <v/>
      </c>
      <c r="N51" s="17" t="n"/>
      <c r="O51" s="18" t="n">
        <v>0.98</v>
      </c>
      <c r="P51" s="19">
        <f>IF(N51="","",IF(N51&gt;=O51,"CUMPLE","NO CUMPLE"))</f>
        <v/>
      </c>
      <c r="Q51" s="17" t="n"/>
      <c r="R51" s="18" t="n">
        <v>0.9</v>
      </c>
      <c r="S51" s="19">
        <f>IF(Q51="","",IF(Q51&gt;=R51,"CUMPLE","NO CUMPLE"))</f>
        <v/>
      </c>
      <c r="T51" s="20" t="n"/>
      <c r="U51" s="21" t="n">
        <v>410</v>
      </c>
      <c r="V51" s="19">
        <f>IF(T51="","",IF(T51&lt;=U51,"CUMPLE","NO CUMPLE"))</f>
        <v/>
      </c>
      <c r="W51" s="17" t="n"/>
      <c r="X51" s="18" t="n">
        <v>0.05</v>
      </c>
      <c r="Y51" s="19">
        <f>IF(W51="","",IF(W51&lt;=X51,"CUMPLE","NO CUMPLE"))</f>
        <v/>
      </c>
      <c r="Z51" s="17" t="n"/>
      <c r="AA51" s="18" t="n">
        <v>0.03</v>
      </c>
      <c r="AB51" s="19">
        <f>IF(Z51="","",IF(Z51&lt;=AA51,"CUMPLE","NO CUMPLE"))</f>
        <v/>
      </c>
      <c r="AC51" s="17" t="n"/>
      <c r="AD51" s="18" t="n">
        <v>0.02</v>
      </c>
      <c r="AE51" s="19">
        <f>IF(AC51="","",IF(AC51&lt;=AD51,"CUMPLE","NO CUMPLE"))</f>
        <v/>
      </c>
      <c r="AF51" s="17" t="n"/>
      <c r="AG51" s="18" t="n">
        <v>0.05</v>
      </c>
      <c r="AH51" s="19">
        <f>IF(AF51="","",IF(AF51&lt;=AG51,"CUMPLE","NO CUMPLE"))</f>
        <v/>
      </c>
      <c r="AI51" s="22" t="n"/>
      <c r="AJ51" s="22" t="n"/>
    </row>
    <row r="52">
      <c r="A52" s="13" t="inlineStr">
        <is>
          <t>1010239688</t>
        </is>
      </c>
      <c r="B52" s="14" t="inlineStr">
        <is>
          <t>PEÑA ACOSTA JOSE BRAYAN</t>
        </is>
      </c>
      <c r="C52" s="15" t="inlineStr">
        <is>
          <t>INBOUND</t>
        </is>
      </c>
      <c r="D52" s="16" t="inlineStr">
        <is>
          <t>TROCHA MORALES EUDYMAR</t>
        </is>
      </c>
      <c r="E52" s="17" t="n"/>
      <c r="F52" s="23" t="n">
        <v>0.95</v>
      </c>
      <c r="G52" s="19">
        <f>IF(E52="","",IF(E52&gt;=F52,"CUMPLE","NO CUMPLE"))</f>
        <v/>
      </c>
      <c r="H52" s="17" t="n"/>
      <c r="I52" s="23" t="n">
        <v>0.9</v>
      </c>
      <c r="J52" s="19">
        <f>IF(H52="","",IF(H52&gt;=I52,"CUMPLE","NO CUMPLE"))</f>
        <v/>
      </c>
      <c r="K52" s="17" t="n"/>
      <c r="L52" s="23" t="n">
        <v>0.8</v>
      </c>
      <c r="M52" s="19">
        <f>IF(K52="","",IF(K52&gt;=L52,"CUMPLE","NO CUMPLE"))</f>
        <v/>
      </c>
      <c r="N52" s="17" t="n"/>
      <c r="O52" s="23" t="n">
        <v>0.98</v>
      </c>
      <c r="P52" s="19">
        <f>IF(N52="","",IF(N52&gt;=O52,"CUMPLE","NO CUMPLE"))</f>
        <v/>
      </c>
      <c r="Q52" s="17" t="n"/>
      <c r="R52" s="23" t="n">
        <v>0.9</v>
      </c>
      <c r="S52" s="19">
        <f>IF(Q52="","",IF(Q52&gt;=R52,"CUMPLE","NO CUMPLE"))</f>
        <v/>
      </c>
      <c r="T52" s="20" t="n"/>
      <c r="U52" s="24" t="n">
        <v>410</v>
      </c>
      <c r="V52" s="19">
        <f>IF(T52="","",IF(T52&lt;=U52,"CUMPLE","NO CUMPLE"))</f>
        <v/>
      </c>
      <c r="W52" s="17" t="n"/>
      <c r="X52" s="23" t="n">
        <v>0.05</v>
      </c>
      <c r="Y52" s="19">
        <f>IF(W52="","",IF(W52&lt;=X52,"CUMPLE","NO CUMPLE"))</f>
        <v/>
      </c>
      <c r="Z52" s="17" t="n"/>
      <c r="AA52" s="23" t="n">
        <v>0.03</v>
      </c>
      <c r="AB52" s="19">
        <f>IF(Z52="","",IF(Z52&lt;=AA52,"CUMPLE","NO CUMPLE"))</f>
        <v/>
      </c>
      <c r="AC52" s="17" t="n"/>
      <c r="AD52" s="23" t="n">
        <v>0.02</v>
      </c>
      <c r="AE52" s="19">
        <f>IF(AC52="","",IF(AC52&lt;=AD52,"CUMPLE","NO CUMPLE"))</f>
        <v/>
      </c>
      <c r="AF52" s="17" t="n"/>
      <c r="AG52" s="23" t="n">
        <v>0.05</v>
      </c>
      <c r="AH52" s="19">
        <f>IF(AF52="","",IF(AF52&lt;=AG52,"CUMPLE","NO CUMPLE"))</f>
        <v/>
      </c>
      <c r="AI52" s="22" t="n"/>
      <c r="AJ52" s="22" t="n"/>
    </row>
    <row r="53">
      <c r="A53" s="13" t="inlineStr">
        <is>
          <t>1116873524</t>
        </is>
      </c>
      <c r="B53" s="14" t="inlineStr">
        <is>
          <t>QUIMBAYA SALCEDO CESAR AUGUSTO</t>
        </is>
      </c>
      <c r="C53" s="15" t="inlineStr">
        <is>
          <t>INBOUND</t>
        </is>
      </c>
      <c r="D53" s="16" t="inlineStr">
        <is>
          <t>TROCHA MORALES EUDYMAR</t>
        </is>
      </c>
      <c r="E53" s="17" t="n"/>
      <c r="F53" s="18" t="n">
        <v>0.95</v>
      </c>
      <c r="G53" s="19">
        <f>IF(E53="","",IF(E53&gt;=F53,"CUMPLE","NO CUMPLE"))</f>
        <v/>
      </c>
      <c r="H53" s="17" t="n"/>
      <c r="I53" s="18" t="n">
        <v>0.9</v>
      </c>
      <c r="J53" s="19">
        <f>IF(H53="","",IF(H53&gt;=I53,"CUMPLE","NO CUMPLE"))</f>
        <v/>
      </c>
      <c r="K53" s="17" t="n"/>
      <c r="L53" s="18" t="n">
        <v>0.8</v>
      </c>
      <c r="M53" s="19">
        <f>IF(K53="","",IF(K53&gt;=L53,"CUMPLE","NO CUMPLE"))</f>
        <v/>
      </c>
      <c r="N53" s="17" t="n"/>
      <c r="O53" s="18" t="n">
        <v>0.98</v>
      </c>
      <c r="P53" s="19">
        <f>IF(N53="","",IF(N53&gt;=O53,"CUMPLE","NO CUMPLE"))</f>
        <v/>
      </c>
      <c r="Q53" s="17" t="n"/>
      <c r="R53" s="18" t="n">
        <v>0.9</v>
      </c>
      <c r="S53" s="19">
        <f>IF(Q53="","",IF(Q53&gt;=R53,"CUMPLE","NO CUMPLE"))</f>
        <v/>
      </c>
      <c r="T53" s="20" t="n"/>
      <c r="U53" s="21" t="n">
        <v>410</v>
      </c>
      <c r="V53" s="19">
        <f>IF(T53="","",IF(T53&lt;=U53,"CUMPLE","NO CUMPLE"))</f>
        <v/>
      </c>
      <c r="W53" s="17" t="n"/>
      <c r="X53" s="18" t="n">
        <v>0.05</v>
      </c>
      <c r="Y53" s="19">
        <f>IF(W53="","",IF(W53&lt;=X53,"CUMPLE","NO CUMPLE"))</f>
        <v/>
      </c>
      <c r="Z53" s="17" t="n"/>
      <c r="AA53" s="18" t="n">
        <v>0.03</v>
      </c>
      <c r="AB53" s="19">
        <f>IF(Z53="","",IF(Z53&lt;=AA53,"CUMPLE","NO CUMPLE"))</f>
        <v/>
      </c>
      <c r="AC53" s="17" t="n"/>
      <c r="AD53" s="18" t="n">
        <v>0.02</v>
      </c>
      <c r="AE53" s="19">
        <f>IF(AC53="","",IF(AC53&lt;=AD53,"CUMPLE","NO CUMPLE"))</f>
        <v/>
      </c>
      <c r="AF53" s="17" t="n"/>
      <c r="AG53" s="18" t="n">
        <v>0.05</v>
      </c>
      <c r="AH53" s="19">
        <f>IF(AF53="","",IF(AF53&lt;=AG53,"CUMPLE","NO CUMPLE"))</f>
        <v/>
      </c>
      <c r="AI53" s="22" t="n"/>
      <c r="AJ53" s="22" t="n"/>
    </row>
    <row r="54">
      <c r="A54" s="13" t="inlineStr">
        <is>
          <t>1052412126</t>
        </is>
      </c>
      <c r="B54" s="14" t="inlineStr">
        <is>
          <t>SANCHEZ ESCAMILLA JUAN DAVID</t>
        </is>
      </c>
      <c r="C54" s="15" t="inlineStr">
        <is>
          <t>INBOUND</t>
        </is>
      </c>
      <c r="D54" s="16" t="inlineStr">
        <is>
          <t>TROCHA MORALES EUDYMAR</t>
        </is>
      </c>
      <c r="E54" s="17" t="n"/>
      <c r="F54" s="23" t="n">
        <v>0.95</v>
      </c>
      <c r="G54" s="19">
        <f>IF(E54="","",IF(E54&gt;=F54,"CUMPLE","NO CUMPLE"))</f>
        <v/>
      </c>
      <c r="H54" s="17" t="n"/>
      <c r="I54" s="23" t="n">
        <v>0.9</v>
      </c>
      <c r="J54" s="19">
        <f>IF(H54="","",IF(H54&gt;=I54,"CUMPLE","NO CUMPLE"))</f>
        <v/>
      </c>
      <c r="K54" s="17" t="n"/>
      <c r="L54" s="23" t="n">
        <v>0.8</v>
      </c>
      <c r="M54" s="19">
        <f>IF(K54="","",IF(K54&gt;=L54,"CUMPLE","NO CUMPLE"))</f>
        <v/>
      </c>
      <c r="N54" s="17" t="n"/>
      <c r="O54" s="23" t="n">
        <v>0.98</v>
      </c>
      <c r="P54" s="19">
        <f>IF(N54="","",IF(N54&gt;=O54,"CUMPLE","NO CUMPLE"))</f>
        <v/>
      </c>
      <c r="Q54" s="17" t="n"/>
      <c r="R54" s="23" t="n">
        <v>0.9</v>
      </c>
      <c r="S54" s="19">
        <f>IF(Q54="","",IF(Q54&gt;=R54,"CUMPLE","NO CUMPLE"))</f>
        <v/>
      </c>
      <c r="T54" s="20" t="n"/>
      <c r="U54" s="24" t="n">
        <v>410</v>
      </c>
      <c r="V54" s="19">
        <f>IF(T54="","",IF(T54&lt;=U54,"CUMPLE","NO CUMPLE"))</f>
        <v/>
      </c>
      <c r="W54" s="17" t="n"/>
      <c r="X54" s="23" t="n">
        <v>0.05</v>
      </c>
      <c r="Y54" s="19">
        <f>IF(W54="","",IF(W54&lt;=X54,"CUMPLE","NO CUMPLE"))</f>
        <v/>
      </c>
      <c r="Z54" s="17" t="n"/>
      <c r="AA54" s="23" t="n">
        <v>0.03</v>
      </c>
      <c r="AB54" s="19">
        <f>IF(Z54="","",IF(Z54&lt;=AA54,"CUMPLE","NO CUMPLE"))</f>
        <v/>
      </c>
      <c r="AC54" s="17" t="n"/>
      <c r="AD54" s="23" t="n">
        <v>0.02</v>
      </c>
      <c r="AE54" s="19">
        <f>IF(AC54="","",IF(AC54&lt;=AD54,"CUMPLE","NO CUMPLE"))</f>
        <v/>
      </c>
      <c r="AF54" s="17" t="n"/>
      <c r="AG54" s="23" t="n">
        <v>0.05</v>
      </c>
      <c r="AH54" s="19">
        <f>IF(AF54="","",IF(AF54&lt;=AG54,"CUMPLE","NO CUMPLE"))</f>
        <v/>
      </c>
      <c r="AI54" s="22" t="n"/>
      <c r="AJ54" s="22" t="n"/>
    </row>
    <row r="55">
      <c r="A55" s="13" t="inlineStr">
        <is>
          <t>1143447798</t>
        </is>
      </c>
      <c r="B55" s="14" t="inlineStr">
        <is>
          <t>UPEGUI BANQUEZ ANDREA NATALY</t>
        </is>
      </c>
      <c r="C55" s="15" t="inlineStr"/>
      <c r="D55" s="16" t="inlineStr">
        <is>
          <t>TROCHA MORALES EUDYMAR</t>
        </is>
      </c>
      <c r="E55" s="17" t="n"/>
      <c r="F55" s="18" t="n">
        <v>0.95</v>
      </c>
      <c r="G55" s="19">
        <f>IF(E55="","",IF(E55&gt;=F55,"CUMPLE","NO CUMPLE"))</f>
        <v/>
      </c>
      <c r="H55" s="17" t="n"/>
      <c r="I55" s="18" t="n">
        <v>0.9</v>
      </c>
      <c r="J55" s="19">
        <f>IF(H55="","",IF(H55&gt;=I55,"CUMPLE","NO CUMPLE"))</f>
        <v/>
      </c>
      <c r="K55" s="17" t="n"/>
      <c r="L55" s="18" t="n">
        <v>0.8</v>
      </c>
      <c r="M55" s="19">
        <f>IF(K55="","",IF(K55&gt;=L55,"CUMPLE","NO CUMPLE"))</f>
        <v/>
      </c>
      <c r="N55" s="17" t="n"/>
      <c r="O55" s="18" t="n">
        <v>0.98</v>
      </c>
      <c r="P55" s="19">
        <f>IF(N55="","",IF(N55&gt;=O55,"CUMPLE","NO CUMPLE"))</f>
        <v/>
      </c>
      <c r="Q55" s="17" t="n"/>
      <c r="R55" s="18" t="n">
        <v>0.9</v>
      </c>
      <c r="S55" s="19">
        <f>IF(Q55="","",IF(Q55&gt;=R55,"CUMPLE","NO CUMPLE"))</f>
        <v/>
      </c>
      <c r="T55" s="20" t="n"/>
      <c r="U55" s="21" t="n">
        <v>410</v>
      </c>
      <c r="V55" s="19">
        <f>IF(T55="","",IF(T55&lt;=U55,"CUMPLE","NO CUMPLE"))</f>
        <v/>
      </c>
      <c r="W55" s="17" t="n"/>
      <c r="X55" s="18" t="n">
        <v>0.05</v>
      </c>
      <c r="Y55" s="19">
        <f>IF(W55="","",IF(W55&lt;=X55,"CUMPLE","NO CUMPLE"))</f>
        <v/>
      </c>
      <c r="Z55" s="17" t="n"/>
      <c r="AA55" s="18" t="n">
        <v>0.03</v>
      </c>
      <c r="AB55" s="19">
        <f>IF(Z55="","",IF(Z55&lt;=AA55,"CUMPLE","NO CUMPLE"))</f>
        <v/>
      </c>
      <c r="AC55" s="17" t="n"/>
      <c r="AD55" s="18" t="n">
        <v>0.02</v>
      </c>
      <c r="AE55" s="19">
        <f>IF(AC55="","",IF(AC55&lt;=AD55,"CUMPLE","NO CUMPLE"))</f>
        <v/>
      </c>
      <c r="AF55" s="17" t="n"/>
      <c r="AG55" s="18" t="n">
        <v>0.05</v>
      </c>
      <c r="AH55" s="19">
        <f>IF(AF55="","",IF(AF55&lt;=AG55,"CUMPLE","NO CUMPLE"))</f>
        <v/>
      </c>
      <c r="AI55" s="22" t="n"/>
      <c r="AJ55" s="22" t="n"/>
    </row>
    <row r="56">
      <c r="A56" s="13" t="inlineStr">
        <is>
          <t>1019067327</t>
        </is>
      </c>
      <c r="B56" s="14" t="inlineStr">
        <is>
          <t>VARGAS ROJAS JAVIER FELIPE</t>
        </is>
      </c>
      <c r="C56" s="15" t="inlineStr">
        <is>
          <t>INBOUND</t>
        </is>
      </c>
      <c r="D56" s="16" t="inlineStr">
        <is>
          <t>TROCHA MORALES EUDYMAR</t>
        </is>
      </c>
      <c r="E56" s="17" t="n"/>
      <c r="F56" s="23" t="n">
        <v>0.95</v>
      </c>
      <c r="G56" s="19">
        <f>IF(E56="","",IF(E56&gt;=F56,"CUMPLE","NO CUMPLE"))</f>
        <v/>
      </c>
      <c r="H56" s="17" t="n"/>
      <c r="I56" s="23" t="n">
        <v>0.9</v>
      </c>
      <c r="J56" s="19">
        <f>IF(H56="","",IF(H56&gt;=I56,"CUMPLE","NO CUMPLE"))</f>
        <v/>
      </c>
      <c r="K56" s="17" t="n"/>
      <c r="L56" s="23" t="n">
        <v>0.8</v>
      </c>
      <c r="M56" s="19">
        <f>IF(K56="","",IF(K56&gt;=L56,"CUMPLE","NO CUMPLE"))</f>
        <v/>
      </c>
      <c r="N56" s="17" t="n"/>
      <c r="O56" s="23" t="n">
        <v>0.98</v>
      </c>
      <c r="P56" s="19">
        <f>IF(N56="","",IF(N56&gt;=O56,"CUMPLE","NO CUMPLE"))</f>
        <v/>
      </c>
      <c r="Q56" s="17" t="n"/>
      <c r="R56" s="23" t="n">
        <v>0.9</v>
      </c>
      <c r="S56" s="19">
        <f>IF(Q56="","",IF(Q56&gt;=R56,"CUMPLE","NO CUMPLE"))</f>
        <v/>
      </c>
      <c r="T56" s="20" t="n"/>
      <c r="U56" s="24" t="n">
        <v>410</v>
      </c>
      <c r="V56" s="19">
        <f>IF(T56="","",IF(T56&lt;=U56,"CUMPLE","NO CUMPLE"))</f>
        <v/>
      </c>
      <c r="W56" s="17" t="n"/>
      <c r="X56" s="23" t="n">
        <v>0.05</v>
      </c>
      <c r="Y56" s="19">
        <f>IF(W56="","",IF(W56&lt;=X56,"CUMPLE","NO CUMPLE"))</f>
        <v/>
      </c>
      <c r="Z56" s="17" t="n"/>
      <c r="AA56" s="23" t="n">
        <v>0.03</v>
      </c>
      <c r="AB56" s="19">
        <f>IF(Z56="","",IF(Z56&lt;=AA56,"CUMPLE","NO CUMPLE"))</f>
        <v/>
      </c>
      <c r="AC56" s="17" t="n"/>
      <c r="AD56" s="23" t="n">
        <v>0.02</v>
      </c>
      <c r="AE56" s="19">
        <f>IF(AC56="","",IF(AC56&lt;=AD56,"CUMPLE","NO CUMPLE"))</f>
        <v/>
      </c>
      <c r="AF56" s="17" t="n"/>
      <c r="AG56" s="23" t="n">
        <v>0.05</v>
      </c>
      <c r="AH56" s="19">
        <f>IF(AF56="","",IF(AF56&lt;=AG56,"CUMPLE","NO CUMPLE"))</f>
        <v/>
      </c>
      <c r="AI56" s="22" t="n"/>
      <c r="AJ56" s="22" t="n"/>
    </row>
    <row r="57">
      <c r="A57" s="13" t="inlineStr">
        <is>
          <t>1000593737</t>
        </is>
      </c>
      <c r="B57" s="14" t="inlineStr">
        <is>
          <t>ZAMBRANO GOMEZ SERGIO ESTEBAN</t>
        </is>
      </c>
      <c r="C57" s="15" t="inlineStr">
        <is>
          <t>ELITE</t>
        </is>
      </c>
      <c r="D57" s="16" t="inlineStr">
        <is>
          <t>TROCHA MORALES EUDYMAR</t>
        </is>
      </c>
      <c r="E57" s="17" t="n"/>
      <c r="F57" s="18" t="n">
        <v>0.95</v>
      </c>
      <c r="G57" s="19">
        <f>IF(E57="","",IF(E57&gt;=F57,"CUMPLE","NO CUMPLE"))</f>
        <v/>
      </c>
      <c r="H57" s="17" t="n"/>
      <c r="I57" s="18" t="n">
        <v>0.9</v>
      </c>
      <c r="J57" s="19">
        <f>IF(H57="","",IF(H57&gt;=I57,"CUMPLE","NO CUMPLE"))</f>
        <v/>
      </c>
      <c r="K57" s="17" t="n"/>
      <c r="L57" s="18" t="n">
        <v>0.8</v>
      </c>
      <c r="M57" s="19">
        <f>IF(K57="","",IF(K57&gt;=L57,"CUMPLE","NO CUMPLE"))</f>
        <v/>
      </c>
      <c r="N57" s="17" t="n"/>
      <c r="O57" s="18" t="n">
        <v>0.98</v>
      </c>
      <c r="P57" s="19">
        <f>IF(N57="","",IF(N57&gt;=O57,"CUMPLE","NO CUMPLE"))</f>
        <v/>
      </c>
      <c r="Q57" s="17" t="n"/>
      <c r="R57" s="18" t="n">
        <v>0.9</v>
      </c>
      <c r="S57" s="19">
        <f>IF(Q57="","",IF(Q57&gt;=R57,"CUMPLE","NO CUMPLE"))</f>
        <v/>
      </c>
      <c r="T57" s="20" t="n"/>
      <c r="U57" s="21" t="n">
        <v>410</v>
      </c>
      <c r="V57" s="19">
        <f>IF(T57="","",IF(T57&lt;=U57,"CUMPLE","NO CUMPLE"))</f>
        <v/>
      </c>
      <c r="W57" s="17" t="n"/>
      <c r="X57" s="18" t="n">
        <v>0.05</v>
      </c>
      <c r="Y57" s="19">
        <f>IF(W57="","",IF(W57&lt;=X57,"CUMPLE","NO CUMPLE"))</f>
        <v/>
      </c>
      <c r="Z57" s="17" t="n"/>
      <c r="AA57" s="18" t="n">
        <v>0.03</v>
      </c>
      <c r="AB57" s="19">
        <f>IF(Z57="","",IF(Z57&lt;=AA57,"CUMPLE","NO CUMPLE"))</f>
        <v/>
      </c>
      <c r="AC57" s="17" t="n"/>
      <c r="AD57" s="18" t="n">
        <v>0.02</v>
      </c>
      <c r="AE57" s="19">
        <f>IF(AC57="","",IF(AC57&lt;=AD57,"CUMPLE","NO CUMPLE"))</f>
        <v/>
      </c>
      <c r="AF57" s="17" t="n"/>
      <c r="AG57" s="18" t="n">
        <v>0.05</v>
      </c>
      <c r="AH57" s="19">
        <f>IF(AF57="","",IF(AF57&lt;=AG57,"CUMPLE","NO CUMPLE"))</f>
        <v/>
      </c>
      <c r="AI57" s="22" t="n"/>
      <c r="AJ57" s="22" t="n"/>
    </row>
  </sheetData>
  <mergeCells count="12">
    <mergeCell ref="H1:J1"/>
    <mergeCell ref="A1:D1"/>
    <mergeCell ref="Z1:AB1"/>
    <mergeCell ref="AC1:AE1"/>
    <mergeCell ref="AF1:AH1"/>
    <mergeCell ref="T1:V1"/>
    <mergeCell ref="W1:Y1"/>
    <mergeCell ref="AI1:AJ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5" t="inlineStr">
        <is>
          <t>Nombres del equipo — no borrar esta hoja</t>
        </is>
      </c>
    </row>
    <row r="2">
      <c r="A2" t="inlineStr">
        <is>
          <t>ARIZA VILLARRAGA ALEXANDER</t>
        </is>
      </c>
      <c r="B2" s="26" t="inlineStr">
        <is>
          <t>1019052673</t>
        </is>
      </c>
      <c r="C2" t="inlineStr">
        <is>
          <t>INBOUND</t>
        </is>
      </c>
      <c r="D2" t="inlineStr">
        <is>
          <t>FONSECA GONZALEZ DAVID ALEXANDER</t>
        </is>
      </c>
    </row>
    <row r="3">
      <c r="A3" t="inlineStr">
        <is>
          <t>CANTOR MARTINEZ ACENED ESTEFFANIA</t>
        </is>
      </c>
      <c r="B3" s="26" t="inlineStr">
        <is>
          <t>1073694313</t>
        </is>
      </c>
      <c r="C3" t="inlineStr"/>
      <c r="D3" t="inlineStr">
        <is>
          <t>FONSECA GONZALEZ DAVID ALEXANDER</t>
        </is>
      </c>
    </row>
    <row r="4">
      <c r="A4" t="inlineStr">
        <is>
          <t>CASILIMAS PINZON JENNY LILIANA</t>
        </is>
      </c>
      <c r="B4" s="26" t="inlineStr">
        <is>
          <t>52463960</t>
        </is>
      </c>
      <c r="C4" t="inlineStr">
        <is>
          <t>INBOUND</t>
        </is>
      </c>
      <c r="D4" t="inlineStr">
        <is>
          <t>FONSECA GONZALEZ DAVID ALEXANDER</t>
        </is>
      </c>
    </row>
    <row r="5">
      <c r="A5" t="inlineStr">
        <is>
          <t>CIFUENTES CAMPOS MARIA AURORA</t>
        </is>
      </c>
      <c r="B5" s="26" t="inlineStr">
        <is>
          <t>53136285</t>
        </is>
      </c>
      <c r="C5" t="inlineStr">
        <is>
          <t>INBOUND</t>
        </is>
      </c>
      <c r="D5" t="inlineStr">
        <is>
          <t>FONSECA GONZALEZ DAVID ALEXANDER</t>
        </is>
      </c>
    </row>
    <row r="6">
      <c r="A6" t="inlineStr">
        <is>
          <t>COLORADO GAITAN JONATHAN ALEXANDER</t>
        </is>
      </c>
      <c r="B6" s="26" t="inlineStr">
        <is>
          <t>1030597570</t>
        </is>
      </c>
      <c r="C6" t="inlineStr">
        <is>
          <t>INBOUND</t>
        </is>
      </c>
      <c r="D6" t="inlineStr">
        <is>
          <t>FONSECA GONZALEZ DAVID ALEXANDER</t>
        </is>
      </c>
    </row>
    <row r="7">
      <c r="A7" t="inlineStr">
        <is>
          <t>GONZALEZ SARMIENTO LUISA FERNANDA</t>
        </is>
      </c>
      <c r="B7" s="26" t="inlineStr">
        <is>
          <t>1007158550</t>
        </is>
      </c>
      <c r="C7" t="inlineStr">
        <is>
          <t>INBOUND</t>
        </is>
      </c>
      <c r="D7" t="inlineStr">
        <is>
          <t>FONSECA GONZALEZ DAVID ALEXANDER</t>
        </is>
      </c>
    </row>
    <row r="8">
      <c r="A8" t="inlineStr">
        <is>
          <t>LOPEZ MENDEZ KARENT DANIELA</t>
        </is>
      </c>
      <c r="B8" s="26" t="inlineStr">
        <is>
          <t>1007101442</t>
        </is>
      </c>
      <c r="C8" t="inlineStr">
        <is>
          <t>INBOUND</t>
        </is>
      </c>
      <c r="D8" t="inlineStr">
        <is>
          <t>FONSECA GONZALEZ DAVID ALEXANDER</t>
        </is>
      </c>
    </row>
    <row r="9">
      <c r="A9" t="inlineStr">
        <is>
          <t>MOJICA ROCHA PAOLA CATERINE</t>
        </is>
      </c>
      <c r="B9" s="26" t="inlineStr">
        <is>
          <t>1030548168</t>
        </is>
      </c>
      <c r="C9" t="inlineStr">
        <is>
          <t>INBOUND</t>
        </is>
      </c>
      <c r="D9" t="inlineStr">
        <is>
          <t>FONSECA GONZALEZ DAVID ALEXANDER</t>
        </is>
      </c>
    </row>
    <row r="10">
      <c r="A10" t="inlineStr">
        <is>
          <t>PEÑA ROMERO SEBASTIAN</t>
        </is>
      </c>
      <c r="B10" s="26" t="inlineStr">
        <is>
          <t>1020816999</t>
        </is>
      </c>
      <c r="C10" t="inlineStr">
        <is>
          <t>INBOUND</t>
        </is>
      </c>
      <c r="D10" t="inlineStr">
        <is>
          <t>FONSECA GONZALEZ DAVID ALEXANDER</t>
        </is>
      </c>
    </row>
    <row r="11">
      <c r="A11" t="inlineStr">
        <is>
          <t>PEÑATA REYES JHON JAIRO</t>
        </is>
      </c>
      <c r="B11" s="26" t="inlineStr">
        <is>
          <t>1003656223</t>
        </is>
      </c>
      <c r="C11" t="inlineStr"/>
      <c r="D11" t="inlineStr">
        <is>
          <t>FONSECA GONZALEZ DAVID ALEXANDER</t>
        </is>
      </c>
    </row>
    <row r="12">
      <c r="A12" t="inlineStr">
        <is>
          <t>PINEDA SANCHEZ ERIKA ALEXANDRA</t>
        </is>
      </c>
      <c r="B12" s="26" t="inlineStr">
        <is>
          <t>1001091502</t>
        </is>
      </c>
      <c r="C12" t="inlineStr">
        <is>
          <t>INBOUND</t>
        </is>
      </c>
      <c r="D12" t="inlineStr">
        <is>
          <t>FONSECA GONZALEZ DAVID ALEXANDER</t>
        </is>
      </c>
    </row>
    <row r="13">
      <c r="A13" t="inlineStr">
        <is>
          <t>QUEVEDO ROMERO YURY YINETH</t>
        </is>
      </c>
      <c r="B13" s="26" t="inlineStr">
        <is>
          <t>1012438650</t>
        </is>
      </c>
      <c r="C13" t="inlineStr"/>
      <c r="D13" t="inlineStr">
        <is>
          <t>FONSECA GONZALEZ DAVID ALEXANDER</t>
        </is>
      </c>
    </row>
    <row r="14">
      <c r="A14" t="inlineStr">
        <is>
          <t>RENGIFO ARREDONDO SOFIA</t>
        </is>
      </c>
      <c r="B14" s="26" t="inlineStr">
        <is>
          <t>1011321174</t>
        </is>
      </c>
      <c r="C14" t="inlineStr">
        <is>
          <t>INBOUND</t>
        </is>
      </c>
      <c r="D14" t="inlineStr">
        <is>
          <t>FONSECA GONZALEZ DAVID ALEXANDER</t>
        </is>
      </c>
    </row>
    <row r="15">
      <c r="A15" t="inlineStr">
        <is>
          <t>TORRES CORREDOR LAURA</t>
        </is>
      </c>
      <c r="B15" s="26" t="inlineStr">
        <is>
          <t>1001050371</t>
        </is>
      </c>
      <c r="C15" t="inlineStr">
        <is>
          <t>INBOUND</t>
        </is>
      </c>
      <c r="D15" t="inlineStr">
        <is>
          <t>FONSECA GONZALEZ DAVID ALEXANDER</t>
        </is>
      </c>
    </row>
    <row r="16">
      <c r="A16" t="inlineStr">
        <is>
          <t>ARZUZA LLERENA KATHLEEN SMITH</t>
        </is>
      </c>
      <c r="B16" s="26" t="inlineStr">
        <is>
          <t>1043141989</t>
        </is>
      </c>
      <c r="C16" t="inlineStr">
        <is>
          <t>INBOUND</t>
        </is>
      </c>
      <c r="D16" t="inlineStr">
        <is>
          <t>GOMEZ PEREZ JOSE DANIEL</t>
        </is>
      </c>
    </row>
    <row r="17">
      <c r="A17" t="inlineStr">
        <is>
          <t>AVILA BERMEJO ANGELO JACOBO</t>
        </is>
      </c>
      <c r="B17" s="26" t="inlineStr">
        <is>
          <t>1233490096</t>
        </is>
      </c>
      <c r="C17" t="inlineStr">
        <is>
          <t>INBOUND</t>
        </is>
      </c>
      <c r="D17" t="inlineStr">
        <is>
          <t>GOMEZ PEREZ JOSE DANIEL</t>
        </is>
      </c>
    </row>
    <row r="18">
      <c r="A18" t="inlineStr">
        <is>
          <t>BAUTISTA OSPINA ALEJANDRA</t>
        </is>
      </c>
      <c r="B18" s="26" t="inlineStr">
        <is>
          <t>1098641297</t>
        </is>
      </c>
      <c r="C18" t="inlineStr">
        <is>
          <t>INBOUND</t>
        </is>
      </c>
      <c r="D18" t="inlineStr">
        <is>
          <t>GOMEZ PEREZ JOSE DANIEL</t>
        </is>
      </c>
    </row>
    <row r="19">
      <c r="A19" t="inlineStr">
        <is>
          <t>CALDERON BORJA YULY ALEJANDRA</t>
        </is>
      </c>
      <c r="B19" s="26" t="inlineStr">
        <is>
          <t>1016712031</t>
        </is>
      </c>
      <c r="C19" t="inlineStr">
        <is>
          <t>INBOUND</t>
        </is>
      </c>
      <c r="D19" t="inlineStr">
        <is>
          <t>GOMEZ PEREZ JOSE DANIEL</t>
        </is>
      </c>
    </row>
    <row r="20">
      <c r="A20" t="inlineStr">
        <is>
          <t>CASTILLO BERNAL ANGEL DAVID</t>
        </is>
      </c>
      <c r="B20" s="26" t="inlineStr">
        <is>
          <t>1015994524</t>
        </is>
      </c>
      <c r="C20" t="inlineStr">
        <is>
          <t>INBOUND</t>
        </is>
      </c>
      <c r="D20" t="inlineStr">
        <is>
          <t>GOMEZ PEREZ JOSE DANIEL</t>
        </is>
      </c>
    </row>
    <row r="21">
      <c r="A21" t="inlineStr">
        <is>
          <t>CORTES CORTES CRISTHIAN DARIO</t>
        </is>
      </c>
      <c r="B21" s="26" t="inlineStr">
        <is>
          <t>1032466978</t>
        </is>
      </c>
      <c r="C21" t="inlineStr">
        <is>
          <t>INBOUND</t>
        </is>
      </c>
      <c r="D21" t="inlineStr">
        <is>
          <t>GOMEZ PEREZ JOSE DANIEL</t>
        </is>
      </c>
    </row>
    <row r="22">
      <c r="A22" t="inlineStr">
        <is>
          <t>FIERRO BONILLA JUAN CARLOS</t>
        </is>
      </c>
      <c r="B22" s="26" t="inlineStr">
        <is>
          <t>1030683268</t>
        </is>
      </c>
      <c r="C22" t="inlineStr"/>
      <c r="D22" t="inlineStr">
        <is>
          <t>GOMEZ PEREZ JOSE DANIEL</t>
        </is>
      </c>
    </row>
    <row r="23">
      <c r="A23" t="inlineStr">
        <is>
          <t>GARCIA MONTOYA CAMILA ANDREA</t>
        </is>
      </c>
      <c r="B23" s="26" t="inlineStr">
        <is>
          <t>1000859890</t>
        </is>
      </c>
      <c r="C23" t="inlineStr">
        <is>
          <t>INBOUND</t>
        </is>
      </c>
      <c r="D23" t="inlineStr">
        <is>
          <t>GOMEZ PEREZ JOSE DANIEL</t>
        </is>
      </c>
    </row>
    <row r="24">
      <c r="A24" t="inlineStr">
        <is>
          <t>MADERA HERRERA DIANA CAROLINA</t>
        </is>
      </c>
      <c r="B24" s="26" t="inlineStr">
        <is>
          <t>1193278006</t>
        </is>
      </c>
      <c r="C24" t="inlineStr">
        <is>
          <t>APOYO ELITE</t>
        </is>
      </c>
      <c r="D24" t="inlineStr">
        <is>
          <t>GOMEZ PEREZ JOSE DANIEL</t>
        </is>
      </c>
    </row>
    <row r="25">
      <c r="A25" t="inlineStr">
        <is>
          <t>MELENDEZ REDONDO JUDITH SOFIA</t>
        </is>
      </c>
      <c r="B25" s="26" t="inlineStr">
        <is>
          <t>1082918689</t>
        </is>
      </c>
      <c r="C25" t="inlineStr"/>
      <c r="D25" t="inlineStr">
        <is>
          <t>GOMEZ PEREZ JOSE DANIEL</t>
        </is>
      </c>
    </row>
    <row r="26">
      <c r="A26" t="inlineStr">
        <is>
          <t>OROZCO HERRERA MIGUEL ANGEL</t>
        </is>
      </c>
      <c r="B26" s="26" t="inlineStr">
        <is>
          <t>1030555166</t>
        </is>
      </c>
      <c r="C26" t="inlineStr">
        <is>
          <t>INBOUND</t>
        </is>
      </c>
      <c r="D26" t="inlineStr">
        <is>
          <t>GOMEZ PEREZ JOSE DANIEL</t>
        </is>
      </c>
    </row>
    <row r="27">
      <c r="A27" t="inlineStr">
        <is>
          <t>RAMIREZ QUIROZ LICED GABRIELA</t>
        </is>
      </c>
      <c r="B27" s="26" t="inlineStr">
        <is>
          <t>1001343388</t>
        </is>
      </c>
      <c r="C27" t="inlineStr">
        <is>
          <t>INBOUND</t>
        </is>
      </c>
      <c r="D27" t="inlineStr">
        <is>
          <t>GOMEZ PEREZ JOSE DANIEL</t>
        </is>
      </c>
    </row>
    <row r="28">
      <c r="A28" t="inlineStr">
        <is>
          <t>RUEDA MENE CESAR GABRIEL</t>
        </is>
      </c>
      <c r="B28" s="26" t="inlineStr">
        <is>
          <t>1019014068</t>
        </is>
      </c>
      <c r="C28" t="inlineStr">
        <is>
          <t>ELITE</t>
        </is>
      </c>
      <c r="D28" t="inlineStr">
        <is>
          <t>GOMEZ PEREZ JOSE DANIEL</t>
        </is>
      </c>
    </row>
    <row r="29">
      <c r="A29" t="inlineStr">
        <is>
          <t>SANCHEZ CUERVO JULLY ANDREA</t>
        </is>
      </c>
      <c r="B29" s="26" t="inlineStr">
        <is>
          <t>1233893774</t>
        </is>
      </c>
      <c r="C29" t="inlineStr"/>
      <c r="D29" t="inlineStr">
        <is>
          <t>GOMEZ PEREZ JOSE DANIEL</t>
        </is>
      </c>
    </row>
    <row r="30">
      <c r="A30" t="inlineStr">
        <is>
          <t>SARMIENTO MUÑOZ EVELIN XIOMARA</t>
        </is>
      </c>
      <c r="B30" s="26" t="inlineStr">
        <is>
          <t>1033733992</t>
        </is>
      </c>
      <c r="C30" t="inlineStr">
        <is>
          <t>ELITE</t>
        </is>
      </c>
      <c r="D30" t="inlineStr">
        <is>
          <t>GOMEZ PEREZ JOSE DANIEL</t>
        </is>
      </c>
    </row>
    <row r="31">
      <c r="A31" t="inlineStr">
        <is>
          <t>WALDORF CAMACHO ANGELA GABRIELA VON</t>
        </is>
      </c>
      <c r="B31" s="26" t="inlineStr">
        <is>
          <t>1028484955</t>
        </is>
      </c>
      <c r="C31" t="inlineStr">
        <is>
          <t>INBOUND</t>
        </is>
      </c>
      <c r="D31" t="inlineStr">
        <is>
          <t>GOMEZ PEREZ JOSE DANIEL</t>
        </is>
      </c>
    </row>
    <row r="32">
      <c r="A32" t="inlineStr">
        <is>
          <t>ABRIL MELO ANGIE PAOLA</t>
        </is>
      </c>
      <c r="B32" s="26" t="inlineStr">
        <is>
          <t>1024609146</t>
        </is>
      </c>
      <c r="C32" t="inlineStr">
        <is>
          <t>INBOUND</t>
        </is>
      </c>
      <c r="D32" t="inlineStr">
        <is>
          <t>ORTIZ CODINA JESUS ANTONIO</t>
        </is>
      </c>
    </row>
    <row r="33">
      <c r="A33" t="inlineStr">
        <is>
          <t>AGUILAR PEREZ BRIAN STIVEN</t>
        </is>
      </c>
      <c r="B33" s="26" t="inlineStr">
        <is>
          <t>1193603003</t>
        </is>
      </c>
      <c r="C33" t="inlineStr">
        <is>
          <t>INBOUND</t>
        </is>
      </c>
      <c r="D33" t="inlineStr">
        <is>
          <t>ORTIZ CODINA JESUS ANTONIO</t>
        </is>
      </c>
    </row>
    <row r="34">
      <c r="A34" t="inlineStr">
        <is>
          <t>AYALA PORRAS DIEGO FERNANDO</t>
        </is>
      </c>
      <c r="B34" s="26" t="inlineStr">
        <is>
          <t>1007404206</t>
        </is>
      </c>
      <c r="C34" t="inlineStr">
        <is>
          <t>INBOUND</t>
        </is>
      </c>
      <c r="D34" t="inlineStr">
        <is>
          <t>ORTIZ CODINA JESUS ANTONIO</t>
        </is>
      </c>
    </row>
    <row r="35">
      <c r="A35" t="inlineStr">
        <is>
          <t>CAMPUZANO PERALTA KATY ELISA</t>
        </is>
      </c>
      <c r="B35" s="26" t="inlineStr">
        <is>
          <t>1052954536</t>
        </is>
      </c>
      <c r="C35" t="inlineStr">
        <is>
          <t>INBOUND</t>
        </is>
      </c>
      <c r="D35" t="inlineStr">
        <is>
          <t>ORTIZ CODINA JESUS ANTONIO</t>
        </is>
      </c>
    </row>
    <row r="36">
      <c r="A36" t="inlineStr">
        <is>
          <t>DIAZ PEREZ JHON ALEXANDER</t>
        </is>
      </c>
      <c r="B36" s="26" t="inlineStr">
        <is>
          <t>1014292708</t>
        </is>
      </c>
      <c r="C36" t="inlineStr">
        <is>
          <t>INBOUND</t>
        </is>
      </c>
      <c r="D36" t="inlineStr">
        <is>
          <t>ORTIZ CODINA JESUS ANTONIO</t>
        </is>
      </c>
    </row>
    <row r="37">
      <c r="A37" t="inlineStr">
        <is>
          <t>EGUIS BENJUMEA JEINER JOSE</t>
        </is>
      </c>
      <c r="B37" s="26" t="inlineStr">
        <is>
          <t>1055916745</t>
        </is>
      </c>
      <c r="C37" t="inlineStr">
        <is>
          <t>INBOUND</t>
        </is>
      </c>
      <c r="D37" t="inlineStr">
        <is>
          <t>ORTIZ CODINA JESUS ANTONIO</t>
        </is>
      </c>
    </row>
    <row r="38">
      <c r="A38" t="inlineStr">
        <is>
          <t>FORERO SANCHEZ BRAYAN CAMILO</t>
        </is>
      </c>
      <c r="B38" s="26" t="inlineStr">
        <is>
          <t>1000689412</t>
        </is>
      </c>
      <c r="C38" t="inlineStr">
        <is>
          <t>INBOUND</t>
        </is>
      </c>
      <c r="D38" t="inlineStr">
        <is>
          <t>ORTIZ CODINA JESUS ANTONIO</t>
        </is>
      </c>
    </row>
    <row r="39">
      <c r="A39" t="inlineStr">
        <is>
          <t>HERNANDEZ BARRERA ANA MARIA</t>
        </is>
      </c>
      <c r="B39" s="26" t="inlineStr">
        <is>
          <t>53007877</t>
        </is>
      </c>
      <c r="C39" t="inlineStr">
        <is>
          <t>INBOUND</t>
        </is>
      </c>
      <c r="D39" t="inlineStr">
        <is>
          <t>ORTIZ CODINA JESUS ANTONIO</t>
        </is>
      </c>
    </row>
    <row r="40">
      <c r="A40" t="inlineStr">
        <is>
          <t>MEJIA GARCIA MARIA DEL CARMEN</t>
        </is>
      </c>
      <c r="B40" s="26" t="inlineStr">
        <is>
          <t>1083693877</t>
        </is>
      </c>
      <c r="C40" t="inlineStr">
        <is>
          <t>INBOUND</t>
        </is>
      </c>
      <c r="D40" t="inlineStr">
        <is>
          <t>ORTIZ CODINA JESUS ANTONIO</t>
        </is>
      </c>
    </row>
    <row r="41">
      <c r="A41" t="inlineStr">
        <is>
          <t>PALOMO QUINCHE MARIA FERNANDA</t>
        </is>
      </c>
      <c r="B41" s="26" t="inlineStr">
        <is>
          <t>1074486893</t>
        </is>
      </c>
      <c r="C41" t="inlineStr">
        <is>
          <t>INBOUND</t>
        </is>
      </c>
      <c r="D41" t="inlineStr">
        <is>
          <t>ORTIZ CODINA JESUS ANTONIO</t>
        </is>
      </c>
    </row>
    <row r="42">
      <c r="A42" t="inlineStr">
        <is>
          <t>RAMIREZ GAVIRIA JORGE EDUARDO</t>
        </is>
      </c>
      <c r="B42" s="26" t="inlineStr">
        <is>
          <t>1018421440</t>
        </is>
      </c>
      <c r="C42" t="inlineStr">
        <is>
          <t>INBOUND</t>
        </is>
      </c>
      <c r="D42" t="inlineStr">
        <is>
          <t>ORTIZ CODINA JESUS ANTONIO</t>
        </is>
      </c>
    </row>
    <row r="43">
      <c r="A43" t="inlineStr">
        <is>
          <t>VARGAS LINARES PAULA VALENTINA</t>
        </is>
      </c>
      <c r="B43" s="26" t="inlineStr">
        <is>
          <t>1011089465</t>
        </is>
      </c>
      <c r="C43" t="inlineStr">
        <is>
          <t>INBOUND</t>
        </is>
      </c>
      <c r="D43" t="inlineStr">
        <is>
          <t>ORTIZ CODINA JESUS ANTONIO</t>
        </is>
      </c>
    </row>
    <row r="44">
      <c r="A44" t="inlineStr">
        <is>
          <t>VIVAS GOMEZ CRISTHIAN DANIEL</t>
        </is>
      </c>
      <c r="B44" s="26" t="inlineStr">
        <is>
          <t>1032490695</t>
        </is>
      </c>
      <c r="C44" t="inlineStr">
        <is>
          <t>INBOUND</t>
        </is>
      </c>
      <c r="D44" t="inlineStr">
        <is>
          <t>ORTIZ CODINA JESUS ANTONIO</t>
        </is>
      </c>
    </row>
    <row r="45">
      <c r="A45" t="inlineStr">
        <is>
          <t>AMAYA SAENZ ELIO</t>
        </is>
      </c>
      <c r="B45" s="26" t="inlineStr">
        <is>
          <t>1099217237</t>
        </is>
      </c>
      <c r="C45" t="inlineStr"/>
      <c r="D45" t="inlineStr">
        <is>
          <t>TROCHA MORALES EUDYMAR</t>
        </is>
      </c>
    </row>
    <row r="46">
      <c r="A46" t="inlineStr">
        <is>
          <t>BASTIDAS CARDOZO LUNA ALEJANDRA</t>
        </is>
      </c>
      <c r="B46" s="26" t="inlineStr">
        <is>
          <t>1010960671</t>
        </is>
      </c>
      <c r="C46" t="inlineStr">
        <is>
          <t>INBOUND</t>
        </is>
      </c>
      <c r="D46" t="inlineStr">
        <is>
          <t>TROCHA MORALES EUDYMAR</t>
        </is>
      </c>
    </row>
    <row r="47">
      <c r="A47" t="inlineStr">
        <is>
          <t>CARDOZO DAZA ANDRES</t>
        </is>
      </c>
      <c r="B47" s="26" t="inlineStr">
        <is>
          <t>1032940824</t>
        </is>
      </c>
      <c r="C47" t="inlineStr">
        <is>
          <t>INBOUND</t>
        </is>
      </c>
      <c r="D47" t="inlineStr">
        <is>
          <t>TROCHA MORALES EUDYMAR</t>
        </is>
      </c>
    </row>
    <row r="48">
      <c r="A48" t="inlineStr">
        <is>
          <t>ESTUPIÑAN CACERES FLOR AMALIA</t>
        </is>
      </c>
      <c r="B48" s="26" t="inlineStr">
        <is>
          <t>52129052</t>
        </is>
      </c>
      <c r="C48" t="inlineStr">
        <is>
          <t>INBOUND</t>
        </is>
      </c>
      <c r="D48" t="inlineStr">
        <is>
          <t>TROCHA MORALES EUDYMAR</t>
        </is>
      </c>
    </row>
    <row r="49">
      <c r="A49" t="inlineStr">
        <is>
          <t>GONZALES ORTIZ SOFIA NICOL</t>
        </is>
      </c>
      <c r="B49" s="26" t="inlineStr">
        <is>
          <t>1001317229</t>
        </is>
      </c>
      <c r="C49" t="inlineStr">
        <is>
          <t>INBOUND</t>
        </is>
      </c>
      <c r="D49" t="inlineStr">
        <is>
          <t>TROCHA MORALES EUDYMAR</t>
        </is>
      </c>
    </row>
    <row r="50">
      <c r="A50" t="inlineStr">
        <is>
          <t>MONTALVO COLLAZOS KATERINE</t>
        </is>
      </c>
      <c r="B50" s="26" t="inlineStr">
        <is>
          <t>1006507935</t>
        </is>
      </c>
      <c r="C50" t="inlineStr">
        <is>
          <t>INBOUND</t>
        </is>
      </c>
      <c r="D50" t="inlineStr">
        <is>
          <t>TROCHA MORALES EUDYMAR</t>
        </is>
      </c>
    </row>
    <row r="51">
      <c r="A51" t="inlineStr">
        <is>
          <t>PEÑA ACOSTA JOSE BRAYAN</t>
        </is>
      </c>
      <c r="B51" s="26" t="inlineStr">
        <is>
          <t>1010239688</t>
        </is>
      </c>
      <c r="C51" t="inlineStr">
        <is>
          <t>INBOUND</t>
        </is>
      </c>
      <c r="D51" t="inlineStr">
        <is>
          <t>TROCHA MORALES EUDYMAR</t>
        </is>
      </c>
    </row>
    <row r="52">
      <c r="A52" t="inlineStr">
        <is>
          <t>QUIMBAYA SALCEDO CESAR AUGUSTO</t>
        </is>
      </c>
      <c r="B52" s="26" t="inlineStr">
        <is>
          <t>1116873524</t>
        </is>
      </c>
      <c r="C52" t="inlineStr">
        <is>
          <t>INBOUND</t>
        </is>
      </c>
      <c r="D52" t="inlineStr">
        <is>
          <t>TROCHA MORALES EUDYMAR</t>
        </is>
      </c>
    </row>
    <row r="53">
      <c r="A53" t="inlineStr">
        <is>
          <t>SANCHEZ ESCAMILLA JUAN DAVID</t>
        </is>
      </c>
      <c r="B53" s="26" t="inlineStr">
        <is>
          <t>1052412126</t>
        </is>
      </c>
      <c r="C53" t="inlineStr">
        <is>
          <t>INBOUND</t>
        </is>
      </c>
      <c r="D53" t="inlineStr">
        <is>
          <t>TROCHA MORALES EUDYMAR</t>
        </is>
      </c>
    </row>
    <row r="54">
      <c r="A54" t="inlineStr">
        <is>
          <t>UPEGUI BANQUEZ ANDREA NATALY</t>
        </is>
      </c>
      <c r="B54" s="26" t="inlineStr">
        <is>
          <t>1143447798</t>
        </is>
      </c>
      <c r="C54" t="inlineStr"/>
      <c r="D54" t="inlineStr">
        <is>
          <t>TROCHA MORALES EUDYMAR</t>
        </is>
      </c>
    </row>
    <row r="55">
      <c r="A55" t="inlineStr">
        <is>
          <t>VARGAS ROJAS JAVIER FELIPE</t>
        </is>
      </c>
      <c r="B55" s="26" t="inlineStr">
        <is>
          <t>1019067327</t>
        </is>
      </c>
      <c r="C55" t="inlineStr">
        <is>
          <t>INBOUND</t>
        </is>
      </c>
      <c r="D55" t="inlineStr">
        <is>
          <t>TROCHA MORALES EUDYMAR</t>
        </is>
      </c>
    </row>
    <row r="56">
      <c r="A56" t="inlineStr">
        <is>
          <t>ZAMBRANO GOMEZ SERGIO ESTEBAN</t>
        </is>
      </c>
      <c r="B56" s="26" t="inlineStr">
        <is>
          <t>1000593737</t>
        </is>
      </c>
      <c r="C56" t="inlineStr">
        <is>
          <t>ELITE</t>
        </is>
      </c>
      <c r="D56" t="inlineStr">
        <is>
          <t>TROCHA MORALES EUDYMAR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6" customWidth="1" min="3" max="3"/>
    <col width="14" customWidth="1" min="4" max="4"/>
    <col width="24" customWidth="1" min="5" max="5"/>
    <col width="24" customWidth="1" min="6" max="6"/>
    <col width="24" customWidth="1" min="7" max="7"/>
    <col width="24" customWidth="1" min="8" max="8"/>
    <col width="34" customWidth="1" min="9" max="9"/>
  </cols>
  <sheetData>
    <row r="1" ht="28" customHeight="1">
      <c r="A1" s="27" t="inlineStr">
        <is>
          <t>nombre_agente</t>
        </is>
      </c>
      <c r="B1" s="27" t="inlineStr">
        <is>
          <t>id_interaccion</t>
        </is>
      </c>
      <c r="C1" s="27" t="inlineStr">
        <is>
          <t>link_gestion</t>
        </is>
      </c>
      <c r="D1" s="27" t="inlineStr">
        <is>
          <t>cola</t>
        </is>
      </c>
      <c r="E1" s="27" t="inlineStr">
        <is>
          <t>macroproceso</t>
        </is>
      </c>
      <c r="F1" s="27" t="inlineStr">
        <is>
          <t>proceso</t>
        </is>
      </c>
      <c r="G1" s="27" t="inlineStr">
        <is>
          <t>subproceso_uno</t>
        </is>
      </c>
      <c r="H1" s="27" t="inlineStr">
        <is>
          <t>subproceso_dos</t>
        </is>
      </c>
      <c r="I1" s="27" t="inlineStr">
        <is>
          <t>observaciones</t>
        </is>
      </c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</row>
    <row r="15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</row>
    <row r="15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</row>
    <row r="156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</row>
    <row r="16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</row>
    <row r="16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</row>
    <row r="16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</row>
    <row r="166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</row>
    <row r="168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</row>
    <row r="17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</row>
    <row r="17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</row>
    <row r="17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</row>
    <row r="176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</row>
    <row r="178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</row>
    <row r="18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</row>
    <row r="18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</row>
    <row r="18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</row>
    <row r="186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</row>
    <row r="188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</row>
    <row r="19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</row>
    <row r="19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</row>
    <row r="19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</row>
    <row r="196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</row>
    <row r="198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</row>
    <row r="20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</row>
    <row r="20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</row>
    <row r="204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</row>
    <row r="206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</row>
    <row r="208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</row>
    <row r="2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</row>
    <row r="21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</row>
    <row r="214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</row>
    <row r="216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</row>
    <row r="218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</row>
  </sheetData>
  <autoFilter ref="A1:I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Listas!$A$2:$A$56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4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8" customHeight="1">
      <c r="A1" s="30" t="inlineStr">
        <is>
          <t>Nombre del agente</t>
        </is>
      </c>
      <c r="B1" s="30" t="inlineStr">
        <is>
          <t>Fecha</t>
        </is>
      </c>
      <c r="C1" s="30" t="inlineStr">
        <is>
          <t>ID o enlace de la interaccion</t>
        </is>
      </c>
      <c r="D1" s="31" t="inlineStr">
        <is>
          <t>Saludo institucional</t>
        </is>
      </c>
      <c r="E1" s="31" t="inlineStr">
        <is>
          <t>Verificación de identidad</t>
        </is>
      </c>
      <c r="F1" s="31" t="inlineStr">
        <is>
          <t>Escucha activa</t>
        </is>
      </c>
      <c r="G1" s="31" t="inlineStr">
        <is>
          <t>Manejo del aplicativo</t>
        </is>
      </c>
      <c r="H1" s="31" t="inlineStr">
        <is>
          <t>Información entregada</t>
        </is>
      </c>
      <c r="I1" s="31" t="inlineStr">
        <is>
          <t>Tipificación de la gestión</t>
        </is>
      </c>
      <c r="J1" s="31" t="inlineStr">
        <is>
          <t>Cierre y despedida</t>
        </is>
      </c>
      <c r="K1" s="31" t="inlineStr">
        <is>
          <t>Compromiso de mejora</t>
        </is>
      </c>
    </row>
    <row r="2">
      <c r="A2" s="32" t="n"/>
      <c r="B2" s="33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</row>
    <row r="3">
      <c r="A3" s="34" t="n"/>
      <c r="B3" s="35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</row>
    <row r="4">
      <c r="A4" s="32" t="n"/>
      <c r="B4" s="33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</row>
    <row r="5">
      <c r="A5" s="34" t="n"/>
      <c r="B5" s="35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>
      <c r="A6" s="32" t="n"/>
      <c r="B6" s="33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>
      <c r="A7" s="34" t="n"/>
      <c r="B7" s="35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</row>
    <row r="8">
      <c r="A8" s="32" t="n"/>
      <c r="B8" s="33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>
      <c r="A9" s="34" t="n"/>
      <c r="B9" s="35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>
      <c r="A10" s="32" t="n"/>
      <c r="B10" s="33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>
      <c r="A11" s="34" t="n"/>
      <c r="B11" s="35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</row>
    <row r="12">
      <c r="A12" s="32" t="n"/>
      <c r="B12" s="33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>
      <c r="A13" s="34" t="n"/>
      <c r="B13" s="35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</row>
    <row r="14">
      <c r="A14" s="32" t="n"/>
      <c r="B14" s="3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>
      <c r="A15" s="34" t="n"/>
      <c r="B15" s="35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</row>
    <row r="16">
      <c r="A16" s="32" t="n"/>
      <c r="B16" s="33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A17" s="34" t="n"/>
      <c r="B17" s="35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</row>
    <row r="18">
      <c r="A18" s="32" t="n"/>
      <c r="B18" s="33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>
      <c r="A19" s="34" t="n"/>
      <c r="B19" s="35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</row>
    <row r="20">
      <c r="A20" s="32" t="n"/>
      <c r="B20" s="33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>
      <c r="A21" s="34" t="n"/>
      <c r="B21" s="35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</row>
    <row r="22">
      <c r="A22" s="32" t="n"/>
      <c r="B22" s="33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>
      <c r="A23" s="34" t="n"/>
      <c r="B23" s="35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</row>
    <row r="24">
      <c r="A24" s="32" t="n"/>
      <c r="B24" s="33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>
      <c r="A25" s="34" t="n"/>
      <c r="B25" s="35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</row>
    <row r="26">
      <c r="A26" s="32" t="n"/>
      <c r="B26" s="33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4" t="n"/>
      <c r="B27" s="35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</row>
    <row r="28">
      <c r="A28" s="32" t="n"/>
      <c r="B28" s="33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>
      <c r="A29" s="34" t="n"/>
      <c r="B29" s="35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</row>
    <row r="30">
      <c r="A30" s="32" t="n"/>
      <c r="B30" s="3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34" t="n"/>
      <c r="B31" s="35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</row>
    <row r="32">
      <c r="A32" s="32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>
      <c r="A33" s="34" t="n"/>
      <c r="B33" s="35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</row>
    <row r="34">
      <c r="A34" s="32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>
      <c r="A35" s="34" t="n"/>
      <c r="B35" s="35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</row>
    <row r="36">
      <c r="A36" s="32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>
      <c r="A37" s="34" t="n"/>
      <c r="B37" s="35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</row>
    <row r="38">
      <c r="A38" s="32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>
      <c r="A39" s="34" t="n"/>
      <c r="B39" s="35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</row>
    <row r="40">
      <c r="A40" s="32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>
      <c r="A41" s="34" t="n"/>
      <c r="B41" s="35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32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>
      <c r="A43" s="34" t="n"/>
      <c r="B43" s="35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</row>
    <row r="44">
      <c r="A44" s="32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>
      <c r="A45" s="34" t="n"/>
      <c r="B45" s="35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</row>
    <row r="46">
      <c r="A46" s="32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>
      <c r="A47" s="34" t="n"/>
      <c r="B47" s="35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>
      <c r="A48" s="32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>
      <c r="A49" s="34" t="n"/>
      <c r="B49" s="35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</row>
    <row r="50">
      <c r="A50" s="32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>
      <c r="A51" s="34" t="n"/>
      <c r="B51" s="35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</row>
    <row r="52">
      <c r="A52" s="32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>
      <c r="A53" s="34" t="n"/>
      <c r="B53" s="35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</row>
    <row r="54">
      <c r="A54" s="32" t="n"/>
      <c r="B54" s="3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</row>
    <row r="56">
      <c r="A56" s="32" t="n"/>
      <c r="B56" s="3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>
      <c r="A57" s="34" t="n"/>
      <c r="B57" s="35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>
      <c r="A58" s="32" t="n"/>
      <c r="B58" s="3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>
      <c r="A59" s="34" t="n"/>
      <c r="B59" s="35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</row>
    <row r="60">
      <c r="A60" s="32" t="n"/>
      <c r="B60" s="3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>
      <c r="A61" s="34" t="n"/>
      <c r="B61" s="35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</row>
    <row r="62">
      <c r="A62" s="32" t="n"/>
      <c r="B62" s="33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>
      <c r="A63" s="34" t="n"/>
      <c r="B63" s="35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</row>
    <row r="64">
      <c r="A64" s="32" t="n"/>
      <c r="B64" s="33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>
      <c r="A65" s="34" t="n"/>
      <c r="B65" s="35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>
      <c r="A66" s="32" t="n"/>
      <c r="B66" s="33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>
      <c r="A67" s="34" t="n"/>
      <c r="B67" s="35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</row>
    <row r="68">
      <c r="A68" s="32" t="n"/>
      <c r="B68" s="33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>
      <c r="A69" s="34" t="n"/>
      <c r="B69" s="35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>
      <c r="A70" s="32" t="n"/>
      <c r="B70" s="33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>
      <c r="A71" s="34" t="n"/>
      <c r="B71" s="35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</row>
    <row r="72">
      <c r="A72" s="32" t="n"/>
      <c r="B72" s="33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>
      <c r="A73" s="34" t="n"/>
      <c r="B73" s="35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>
      <c r="A74" s="32" t="n"/>
      <c r="B74" s="33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>
      <c r="A75" s="34" t="n"/>
      <c r="B75" s="35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>
      <c r="A76" s="32" t="n"/>
      <c r="B76" s="33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>
      <c r="A77" s="34" t="n"/>
      <c r="B77" s="35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</row>
    <row r="78">
      <c r="A78" s="32" t="n"/>
      <c r="B78" s="33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>
      <c r="A79" s="34" t="n"/>
      <c r="B79" s="35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</row>
    <row r="80">
      <c r="A80" s="32" t="n"/>
      <c r="B80" s="33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>
      <c r="A81" s="34" t="n"/>
      <c r="B81" s="35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</row>
    <row r="82">
      <c r="A82" s="32" t="n"/>
      <c r="B82" s="33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>
      <c r="A83" s="34" t="n"/>
      <c r="B83" s="35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</row>
    <row r="84">
      <c r="A84" s="32" t="n"/>
      <c r="B84" s="33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>
      <c r="A85" s="34" t="n"/>
      <c r="B85" s="35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</row>
    <row r="86">
      <c r="A86" s="32" t="n"/>
      <c r="B86" s="33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  <row r="87">
      <c r="A87" s="34" t="n"/>
      <c r="B87" s="35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</row>
    <row r="88">
      <c r="A88" s="32" t="n"/>
      <c r="B88" s="33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</row>
    <row r="89">
      <c r="A89" s="34" t="n"/>
      <c r="B89" s="35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</row>
    <row r="90">
      <c r="A90" s="32" t="n"/>
      <c r="B90" s="33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</row>
    <row r="91">
      <c r="A91" s="34" t="n"/>
      <c r="B91" s="35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</row>
    <row r="92">
      <c r="A92" s="32" t="n"/>
      <c r="B92" s="33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</row>
    <row r="93">
      <c r="A93" s="34" t="n"/>
      <c r="B93" s="35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</row>
    <row r="94">
      <c r="A94" s="32" t="n"/>
      <c r="B94" s="33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</row>
    <row r="95">
      <c r="A95" s="34" t="n"/>
      <c r="B95" s="35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</row>
    <row r="96">
      <c r="A96" s="32" t="n"/>
      <c r="B96" s="33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</row>
    <row r="97">
      <c r="A97" s="34" t="n"/>
      <c r="B97" s="35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</row>
    <row r="98">
      <c r="A98" s="32" t="n"/>
      <c r="B98" s="33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</row>
    <row r="99">
      <c r="A99" s="34" t="n"/>
      <c r="B99" s="35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</row>
    <row r="100">
      <c r="A100" s="32" t="n"/>
      <c r="B100" s="33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</row>
    <row r="101">
      <c r="A101" s="34" t="n"/>
      <c r="B101" s="35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</row>
    <row r="102">
      <c r="A102" s="32" t="n"/>
      <c r="B102" s="33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</row>
    <row r="103">
      <c r="A103" s="34" t="n"/>
      <c r="B103" s="35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</row>
    <row r="104">
      <c r="A104" s="32" t="n"/>
      <c r="B104" s="33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</row>
    <row r="105">
      <c r="A105" s="34" t="n"/>
      <c r="B105" s="35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</row>
    <row r="106">
      <c r="A106" s="32" t="n"/>
      <c r="B106" s="33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</row>
    <row r="107">
      <c r="A107" s="34" t="n"/>
      <c r="B107" s="35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</row>
    <row r="108">
      <c r="A108" s="32" t="n"/>
      <c r="B108" s="33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</row>
    <row r="109">
      <c r="A109" s="34" t="n"/>
      <c r="B109" s="35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</row>
    <row r="110">
      <c r="A110" s="32" t="n"/>
      <c r="B110" s="33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</row>
    <row r="111">
      <c r="A111" s="34" t="n"/>
      <c r="B111" s="35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</row>
    <row r="112">
      <c r="A112" s="32" t="n"/>
      <c r="B112" s="33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</row>
    <row r="113">
      <c r="A113" s="34" t="n"/>
      <c r="B113" s="35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</row>
    <row r="114">
      <c r="A114" s="32" t="n"/>
      <c r="B114" s="33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</row>
    <row r="115">
      <c r="A115" s="34" t="n"/>
      <c r="B115" s="35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</row>
    <row r="116">
      <c r="A116" s="32" t="n"/>
      <c r="B116" s="33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</row>
    <row r="117">
      <c r="A117" s="34" t="n"/>
      <c r="B117" s="35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</row>
    <row r="118">
      <c r="A118" s="32" t="n"/>
      <c r="B118" s="33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</row>
    <row r="119">
      <c r="A119" s="34" t="n"/>
      <c r="B119" s="35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</row>
    <row r="120">
      <c r="A120" s="32" t="n"/>
      <c r="B120" s="33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</row>
    <row r="121">
      <c r="A121" s="34" t="n"/>
      <c r="B121" s="35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</row>
    <row r="122">
      <c r="A122" s="32" t="n"/>
      <c r="B122" s="33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</row>
    <row r="123">
      <c r="A123" s="34" t="n"/>
      <c r="B123" s="35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</row>
    <row r="124">
      <c r="A124" s="32" t="n"/>
      <c r="B124" s="33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</row>
    <row r="125">
      <c r="A125" s="34" t="n"/>
      <c r="B125" s="35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</row>
    <row r="126">
      <c r="A126" s="32" t="n"/>
      <c r="B126" s="33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</row>
    <row r="127">
      <c r="A127" s="34" t="n"/>
      <c r="B127" s="35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</row>
    <row r="128">
      <c r="A128" s="32" t="n"/>
      <c r="B128" s="33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</row>
    <row r="129">
      <c r="A129" s="34" t="n"/>
      <c r="B129" s="35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</row>
    <row r="130">
      <c r="A130" s="32" t="n"/>
      <c r="B130" s="33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</row>
    <row r="131">
      <c r="A131" s="34" t="n"/>
      <c r="B131" s="35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</row>
    <row r="132">
      <c r="A132" s="32" t="n"/>
      <c r="B132" s="33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</row>
    <row r="133">
      <c r="A133" s="34" t="n"/>
      <c r="B133" s="35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</row>
    <row r="134">
      <c r="A134" s="32" t="n"/>
      <c r="B134" s="33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</row>
    <row r="135">
      <c r="A135" s="34" t="n"/>
      <c r="B135" s="35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</row>
    <row r="136">
      <c r="A136" s="32" t="n"/>
      <c r="B136" s="33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</row>
    <row r="137">
      <c r="A137" s="34" t="n"/>
      <c r="B137" s="35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</row>
    <row r="138">
      <c r="A138" s="32" t="n"/>
      <c r="B138" s="33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</row>
    <row r="139">
      <c r="A139" s="34" t="n"/>
      <c r="B139" s="35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</row>
    <row r="140">
      <c r="A140" s="32" t="n"/>
      <c r="B140" s="33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</row>
    <row r="141">
      <c r="A141" s="34" t="n"/>
      <c r="B141" s="35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</row>
    <row r="142">
      <c r="A142" s="32" t="n"/>
      <c r="B142" s="33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</row>
    <row r="143">
      <c r="A143" s="34" t="n"/>
      <c r="B143" s="35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</row>
    <row r="144">
      <c r="A144" s="32" t="n"/>
      <c r="B144" s="33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</row>
    <row r="145">
      <c r="A145" s="34" t="n"/>
      <c r="B145" s="35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</row>
    <row r="146">
      <c r="A146" s="32" t="n"/>
      <c r="B146" s="33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</row>
    <row r="147">
      <c r="A147" s="34" t="n"/>
      <c r="B147" s="35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</row>
    <row r="148">
      <c r="A148" s="32" t="n"/>
      <c r="B148" s="33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</row>
    <row r="149">
      <c r="A149" s="34" t="n"/>
      <c r="B149" s="35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</row>
    <row r="150">
      <c r="A150" s="32" t="n"/>
      <c r="B150" s="33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</row>
    <row r="151">
      <c r="A151" s="34" t="n"/>
      <c r="B151" s="35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</row>
    <row r="152">
      <c r="A152" s="32" t="n"/>
      <c r="B152" s="33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</row>
    <row r="153">
      <c r="A153" s="34" t="n"/>
      <c r="B153" s="35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</row>
    <row r="154">
      <c r="A154" s="32" t="n"/>
      <c r="B154" s="33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</row>
    <row r="155">
      <c r="A155" s="34" t="n"/>
      <c r="B155" s="35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</row>
    <row r="156">
      <c r="A156" s="32" t="n"/>
      <c r="B156" s="33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</row>
    <row r="157">
      <c r="A157" s="34" t="n"/>
      <c r="B157" s="35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</row>
    <row r="158">
      <c r="A158" s="32" t="n"/>
      <c r="B158" s="33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</row>
    <row r="159">
      <c r="A159" s="34" t="n"/>
      <c r="B159" s="35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</row>
    <row r="160">
      <c r="A160" s="32" t="n"/>
      <c r="B160" s="33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</row>
    <row r="161">
      <c r="A161" s="34" t="n"/>
      <c r="B161" s="35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</row>
    <row r="162">
      <c r="A162" s="32" t="n"/>
      <c r="B162" s="33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</row>
    <row r="163">
      <c r="A163" s="34" t="n"/>
      <c r="B163" s="35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</row>
    <row r="164">
      <c r="A164" s="32" t="n"/>
      <c r="B164" s="33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</row>
    <row r="165">
      <c r="A165" s="34" t="n"/>
      <c r="B165" s="35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</row>
    <row r="166">
      <c r="A166" s="32" t="n"/>
      <c r="B166" s="33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</row>
    <row r="167">
      <c r="A167" s="34" t="n"/>
      <c r="B167" s="35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</row>
    <row r="168">
      <c r="A168" s="32" t="n"/>
      <c r="B168" s="33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</row>
    <row r="169">
      <c r="A169" s="34" t="n"/>
      <c r="B169" s="35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</row>
    <row r="170">
      <c r="A170" s="32" t="n"/>
      <c r="B170" s="33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</row>
    <row r="171">
      <c r="A171" s="34" t="n"/>
      <c r="B171" s="35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</row>
    <row r="172">
      <c r="A172" s="32" t="n"/>
      <c r="B172" s="33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</row>
    <row r="173">
      <c r="A173" s="34" t="n"/>
      <c r="B173" s="35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</row>
    <row r="174">
      <c r="A174" s="32" t="n"/>
      <c r="B174" s="33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</row>
    <row r="175">
      <c r="A175" s="34" t="n"/>
      <c r="B175" s="35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</row>
    <row r="176">
      <c r="A176" s="32" t="n"/>
      <c r="B176" s="33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</row>
    <row r="177">
      <c r="A177" s="34" t="n"/>
      <c r="B177" s="35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</row>
    <row r="178">
      <c r="A178" s="32" t="n"/>
      <c r="B178" s="33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</row>
    <row r="179">
      <c r="A179" s="34" t="n"/>
      <c r="B179" s="35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</row>
    <row r="180">
      <c r="A180" s="32" t="n"/>
      <c r="B180" s="33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</row>
    <row r="181">
      <c r="A181" s="34" t="n"/>
      <c r="B181" s="35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</row>
    <row r="182">
      <c r="A182" s="32" t="n"/>
      <c r="B182" s="33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</row>
    <row r="183">
      <c r="A183" s="34" t="n"/>
      <c r="B183" s="35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</row>
    <row r="184">
      <c r="A184" s="32" t="n"/>
      <c r="B184" s="33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</row>
    <row r="185">
      <c r="A185" s="34" t="n"/>
      <c r="B185" s="35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</row>
    <row r="186">
      <c r="A186" s="32" t="n"/>
      <c r="B186" s="33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</row>
    <row r="187">
      <c r="A187" s="34" t="n"/>
      <c r="B187" s="35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</row>
    <row r="188">
      <c r="A188" s="32" t="n"/>
      <c r="B188" s="33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</row>
    <row r="189">
      <c r="A189" s="34" t="n"/>
      <c r="B189" s="35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</row>
    <row r="190">
      <c r="A190" s="32" t="n"/>
      <c r="B190" s="33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</row>
    <row r="191">
      <c r="A191" s="34" t="n"/>
      <c r="B191" s="35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</row>
    <row r="192">
      <c r="A192" s="32" t="n"/>
      <c r="B192" s="33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</row>
    <row r="193">
      <c r="A193" s="34" t="n"/>
      <c r="B193" s="35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</row>
    <row r="194">
      <c r="A194" s="32" t="n"/>
      <c r="B194" s="33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</row>
    <row r="195">
      <c r="A195" s="34" t="n"/>
      <c r="B195" s="35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</row>
    <row r="196">
      <c r="A196" s="32" t="n"/>
      <c r="B196" s="33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</row>
    <row r="197">
      <c r="A197" s="34" t="n"/>
      <c r="B197" s="35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</row>
    <row r="198">
      <c r="A198" s="32" t="n"/>
      <c r="B198" s="33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</row>
    <row r="199">
      <c r="A199" s="34" t="n"/>
      <c r="B199" s="35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</row>
    <row r="200">
      <c r="A200" s="32" t="n"/>
      <c r="B200" s="33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</row>
    <row r="201">
      <c r="A201" s="34" t="n"/>
      <c r="B201" s="35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</row>
    <row r="202">
      <c r="A202" s="32" t="n"/>
      <c r="B202" s="33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</row>
    <row r="203">
      <c r="A203" s="34" t="n"/>
      <c r="B203" s="35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</row>
    <row r="204">
      <c r="A204" s="32" t="n"/>
      <c r="B204" s="33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</row>
    <row r="205">
      <c r="A205" s="34" t="n"/>
      <c r="B205" s="35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</row>
    <row r="206">
      <c r="A206" s="32" t="n"/>
      <c r="B206" s="33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</row>
    <row r="207">
      <c r="A207" s="34" t="n"/>
      <c r="B207" s="35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</row>
    <row r="208">
      <c r="A208" s="32" t="n"/>
      <c r="B208" s="33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</row>
    <row r="209">
      <c r="A209" s="34" t="n"/>
      <c r="B209" s="35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</row>
    <row r="210">
      <c r="A210" s="32" t="n"/>
      <c r="B210" s="33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</row>
    <row r="211">
      <c r="A211" s="34" t="n"/>
      <c r="B211" s="35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</row>
    <row r="212">
      <c r="A212" s="32" t="n"/>
      <c r="B212" s="33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</row>
    <row r="213">
      <c r="A213" s="34" t="n"/>
      <c r="B213" s="35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</row>
    <row r="214">
      <c r="A214" s="32" t="n"/>
      <c r="B214" s="33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</row>
    <row r="215">
      <c r="A215" s="34" t="n"/>
      <c r="B215" s="35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</row>
    <row r="216">
      <c r="A216" s="32" t="n"/>
      <c r="B216" s="33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</row>
    <row r="217">
      <c r="A217" s="34" t="n"/>
      <c r="B217" s="35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</row>
    <row r="218">
      <c r="A218" s="32" t="n"/>
      <c r="B218" s="33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</row>
    <row r="219">
      <c r="A219" s="34" t="n"/>
      <c r="B219" s="35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</row>
    <row r="220">
      <c r="A220" s="32" t="n"/>
      <c r="B220" s="33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</row>
    <row r="221">
      <c r="A221" s="34" t="n"/>
      <c r="B221" s="35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</row>
    <row r="222">
      <c r="A222" s="32" t="n"/>
      <c r="B222" s="33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</row>
    <row r="223">
      <c r="A223" s="34" t="n"/>
      <c r="B223" s="35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</row>
    <row r="224">
      <c r="A224" s="32" t="n"/>
      <c r="B224" s="33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</row>
    <row r="225">
      <c r="A225" s="34" t="n"/>
      <c r="B225" s="35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</row>
    <row r="226">
      <c r="A226" s="32" t="n"/>
      <c r="B226" s="33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</row>
    <row r="227">
      <c r="A227" s="34" t="n"/>
      <c r="B227" s="35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</row>
    <row r="228">
      <c r="A228" s="32" t="n"/>
      <c r="B228" s="33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</row>
    <row r="229">
      <c r="A229" s="34" t="n"/>
      <c r="B229" s="35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</row>
    <row r="230">
      <c r="A230" s="32" t="n"/>
      <c r="B230" s="33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</row>
    <row r="231">
      <c r="A231" s="34" t="n"/>
      <c r="B231" s="35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</row>
    <row r="232">
      <c r="A232" s="32" t="n"/>
      <c r="B232" s="33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</row>
    <row r="233">
      <c r="A233" s="34" t="n"/>
      <c r="B233" s="35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</row>
    <row r="234">
      <c r="A234" s="32" t="n"/>
      <c r="B234" s="33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</row>
    <row r="235">
      <c r="A235" s="34" t="n"/>
      <c r="B235" s="35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</row>
    <row r="236">
      <c r="A236" s="32" t="n"/>
      <c r="B236" s="33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</row>
    <row r="237">
      <c r="A237" s="34" t="n"/>
      <c r="B237" s="35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</row>
    <row r="238">
      <c r="A238" s="32" t="n"/>
      <c r="B238" s="33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</row>
    <row r="239">
      <c r="A239" s="34" t="n"/>
      <c r="B239" s="35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</row>
    <row r="240">
      <c r="A240" s="32" t="n"/>
      <c r="B240" s="33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</row>
    <row r="241">
      <c r="A241" s="34" t="n"/>
      <c r="B241" s="35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</row>
    <row r="242">
      <c r="A242" s="32" t="n"/>
      <c r="B242" s="33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</row>
    <row r="243">
      <c r="A243" s="34" t="n"/>
      <c r="B243" s="35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</row>
    <row r="244">
      <c r="A244" s="32" t="n"/>
      <c r="B244" s="33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</row>
    <row r="245">
      <c r="A245" s="34" t="n"/>
      <c r="B245" s="35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</row>
    <row r="246">
      <c r="A246" s="32" t="n"/>
      <c r="B246" s="33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</row>
    <row r="247">
      <c r="A247" s="34" t="n"/>
      <c r="B247" s="35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</row>
    <row r="248">
      <c r="A248" s="32" t="n"/>
      <c r="B248" s="33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</row>
    <row r="249">
      <c r="A249" s="34" t="n"/>
      <c r="B249" s="35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</row>
    <row r="250">
      <c r="A250" s="32" t="n"/>
      <c r="B250" s="33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</row>
    <row r="251">
      <c r="A251" s="34" t="n"/>
      <c r="B251" s="35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</row>
    <row r="252">
      <c r="A252" s="32" t="n"/>
      <c r="B252" s="33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</row>
    <row r="253">
      <c r="A253" s="34" t="n"/>
      <c r="B253" s="35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</row>
    <row r="254">
      <c r="A254" s="32" t="n"/>
      <c r="B254" s="33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</row>
    <row r="255">
      <c r="A255" s="34" t="n"/>
      <c r="B255" s="35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</row>
    <row r="256">
      <c r="A256" s="32" t="n"/>
      <c r="B256" s="33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</row>
    <row r="257">
      <c r="A257" s="34" t="n"/>
      <c r="B257" s="35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</row>
    <row r="258">
      <c r="A258" s="32" t="n"/>
      <c r="B258" s="33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</row>
    <row r="259">
      <c r="A259" s="34" t="n"/>
      <c r="B259" s="35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</row>
    <row r="260">
      <c r="A260" s="32" t="n"/>
      <c r="B260" s="33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</row>
    <row r="261">
      <c r="A261" s="34" t="n"/>
      <c r="B261" s="35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</row>
    <row r="262">
      <c r="A262" s="32" t="n"/>
      <c r="B262" s="33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</row>
    <row r="263">
      <c r="A263" s="34" t="n"/>
      <c r="B263" s="35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</row>
    <row r="264">
      <c r="A264" s="32" t="n"/>
      <c r="B264" s="33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</row>
    <row r="265">
      <c r="A265" s="34" t="n"/>
      <c r="B265" s="35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</row>
    <row r="266">
      <c r="A266" s="32" t="n"/>
      <c r="B266" s="33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>
      <c r="A267" s="34" t="n"/>
      <c r="B267" s="35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</row>
    <row r="268">
      <c r="A268" s="32" t="n"/>
      <c r="B268" s="33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>
      <c r="A269" s="34" t="n"/>
      <c r="B269" s="35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</row>
    <row r="270">
      <c r="A270" s="32" t="n"/>
      <c r="B270" s="33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>
      <c r="A271" s="34" t="n"/>
      <c r="B271" s="35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</row>
    <row r="272">
      <c r="A272" s="32" t="n"/>
      <c r="B272" s="33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</row>
    <row r="273">
      <c r="A273" s="34" t="n"/>
      <c r="B273" s="35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</row>
    <row r="274">
      <c r="A274" s="32" t="n"/>
      <c r="B274" s="33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</row>
    <row r="275">
      <c r="A275" s="34" t="n"/>
      <c r="B275" s="35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</row>
    <row r="276">
      <c r="A276" s="32" t="n"/>
      <c r="B276" s="33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</row>
    <row r="277">
      <c r="A277" s="34" t="n"/>
      <c r="B277" s="35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</row>
    <row r="278">
      <c r="A278" s="32" t="n"/>
      <c r="B278" s="33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</row>
    <row r="279">
      <c r="A279" s="34" t="n"/>
      <c r="B279" s="35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</row>
    <row r="280">
      <c r="A280" s="32" t="n"/>
      <c r="B280" s="33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</row>
    <row r="281">
      <c r="A281" s="34" t="n"/>
      <c r="B281" s="35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</row>
    <row r="282">
      <c r="A282" s="32" t="n"/>
      <c r="B282" s="33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</row>
    <row r="283">
      <c r="A283" s="34" t="n"/>
      <c r="B283" s="35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</row>
    <row r="284">
      <c r="A284" s="32" t="n"/>
      <c r="B284" s="33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</row>
    <row r="285">
      <c r="A285" s="34" t="n"/>
      <c r="B285" s="35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</row>
    <row r="286">
      <c r="A286" s="32" t="n"/>
      <c r="B286" s="33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</row>
    <row r="287">
      <c r="A287" s="34" t="n"/>
      <c r="B287" s="35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</row>
    <row r="288">
      <c r="A288" s="32" t="n"/>
      <c r="B288" s="33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</row>
    <row r="289">
      <c r="A289" s="34" t="n"/>
      <c r="B289" s="35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</row>
    <row r="290">
      <c r="A290" s="32" t="n"/>
      <c r="B290" s="33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</row>
    <row r="291">
      <c r="A291" s="34" t="n"/>
      <c r="B291" s="35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</row>
    <row r="292">
      <c r="A292" s="32" t="n"/>
      <c r="B292" s="33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</row>
    <row r="293">
      <c r="A293" s="34" t="n"/>
      <c r="B293" s="35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</row>
    <row r="294">
      <c r="A294" s="32" t="n"/>
      <c r="B294" s="33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</row>
    <row r="295">
      <c r="A295" s="34" t="n"/>
      <c r="B295" s="35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</row>
    <row r="296">
      <c r="A296" s="32" t="n"/>
      <c r="B296" s="33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</row>
    <row r="297">
      <c r="A297" s="34" t="n"/>
      <c r="B297" s="35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</row>
    <row r="298">
      <c r="A298" s="32" t="n"/>
      <c r="B298" s="33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</row>
    <row r="299">
      <c r="A299" s="34" t="n"/>
      <c r="B299" s="35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</row>
    <row r="300">
      <c r="A300" s="32" t="n"/>
      <c r="B300" s="33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</row>
    <row r="301">
      <c r="A301" s="34" t="n"/>
      <c r="B301" s="35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</row>
    <row r="302">
      <c r="A302" s="32" t="n"/>
      <c r="B302" s="33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</row>
    <row r="303">
      <c r="A303" s="34" t="n"/>
      <c r="B303" s="35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</row>
    <row r="304">
      <c r="A304" s="32" t="n"/>
      <c r="B304" s="33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>
      <c r="A305" s="34" t="n"/>
      <c r="B305" s="35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</row>
    <row r="306">
      <c r="A306" s="32" t="n"/>
      <c r="B306" s="33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>
      <c r="A307" s="34" t="n"/>
      <c r="B307" s="35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</row>
    <row r="308">
      <c r="A308" s="32" t="n"/>
      <c r="B308" s="33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</row>
    <row r="309">
      <c r="A309" s="34" t="n"/>
      <c r="B309" s="35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</row>
    <row r="310">
      <c r="A310" s="32" t="n"/>
      <c r="B310" s="33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</row>
    <row r="311">
      <c r="A311" s="34" t="n"/>
      <c r="B311" s="35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</row>
    <row r="312">
      <c r="A312" s="32" t="n"/>
      <c r="B312" s="33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</row>
    <row r="313">
      <c r="A313" s="34" t="n"/>
      <c r="B313" s="35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</row>
    <row r="314">
      <c r="A314" s="32" t="n"/>
      <c r="B314" s="33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</row>
    <row r="315">
      <c r="A315" s="34" t="n"/>
      <c r="B315" s="35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</row>
    <row r="316">
      <c r="A316" s="32" t="n"/>
      <c r="B316" s="33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</row>
    <row r="317">
      <c r="A317" s="34" t="n"/>
      <c r="B317" s="35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</row>
    <row r="318">
      <c r="A318" s="32" t="n"/>
      <c r="B318" s="33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</row>
    <row r="319">
      <c r="A319" s="34" t="n"/>
      <c r="B319" s="35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</row>
    <row r="320">
      <c r="A320" s="32" t="n"/>
      <c r="B320" s="33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</row>
    <row r="321">
      <c r="A321" s="34" t="n"/>
      <c r="B321" s="35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</row>
    <row r="322">
      <c r="A322" s="32" t="n"/>
      <c r="B322" s="33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</row>
    <row r="323">
      <c r="A323" s="34" t="n"/>
      <c r="B323" s="35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</row>
    <row r="324">
      <c r="A324" s="32" t="n"/>
      <c r="B324" s="33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</row>
    <row r="325">
      <c r="A325" s="34" t="n"/>
      <c r="B325" s="35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</row>
    <row r="326">
      <c r="A326" s="32" t="n"/>
      <c r="B326" s="33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</row>
    <row r="327">
      <c r="A327" s="34" t="n"/>
      <c r="B327" s="35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</row>
    <row r="328">
      <c r="A328" s="32" t="n"/>
      <c r="B328" s="33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</row>
    <row r="329">
      <c r="A329" s="34" t="n"/>
      <c r="B329" s="35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</row>
    <row r="330">
      <c r="A330" s="32" t="n"/>
      <c r="B330" s="33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</row>
    <row r="331">
      <c r="A331" s="34" t="n"/>
      <c r="B331" s="35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</row>
    <row r="332">
      <c r="A332" s="32" t="n"/>
      <c r="B332" s="33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</row>
    <row r="333">
      <c r="A333" s="34" t="n"/>
      <c r="B333" s="35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</row>
    <row r="334">
      <c r="A334" s="32" t="n"/>
      <c r="B334" s="33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</row>
    <row r="335">
      <c r="A335" s="34" t="n"/>
      <c r="B335" s="35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</row>
    <row r="336">
      <c r="A336" s="32" t="n"/>
      <c r="B336" s="33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</row>
    <row r="337">
      <c r="A337" s="34" t="n"/>
      <c r="B337" s="35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</row>
    <row r="338">
      <c r="A338" s="32" t="n"/>
      <c r="B338" s="33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</row>
    <row r="339">
      <c r="A339" s="34" t="n"/>
      <c r="B339" s="35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</row>
    <row r="340">
      <c r="A340" s="32" t="n"/>
      <c r="B340" s="33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</row>
    <row r="341">
      <c r="A341" s="34" t="n"/>
      <c r="B341" s="35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</row>
    <row r="342">
      <c r="A342" s="32" t="n"/>
      <c r="B342" s="33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</row>
    <row r="343">
      <c r="A343" s="34" t="n"/>
      <c r="B343" s="35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</row>
    <row r="344">
      <c r="A344" s="32" t="n"/>
      <c r="B344" s="33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</row>
    <row r="345">
      <c r="A345" s="34" t="n"/>
      <c r="B345" s="35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</row>
    <row r="346">
      <c r="A346" s="32" t="n"/>
      <c r="B346" s="33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</row>
    <row r="347">
      <c r="A347" s="34" t="n"/>
      <c r="B347" s="35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</row>
    <row r="348">
      <c r="A348" s="32" t="n"/>
      <c r="B348" s="33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</row>
    <row r="349">
      <c r="A349" s="34" t="n"/>
      <c r="B349" s="35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</row>
    <row r="350">
      <c r="A350" s="32" t="n"/>
      <c r="B350" s="33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</row>
    <row r="351">
      <c r="A351" s="34" t="n"/>
      <c r="B351" s="35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</row>
    <row r="352">
      <c r="A352" s="32" t="n"/>
      <c r="B352" s="33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</row>
    <row r="353">
      <c r="A353" s="34" t="n"/>
      <c r="B353" s="35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</row>
    <row r="354">
      <c r="A354" s="32" t="n"/>
      <c r="B354" s="33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</row>
    <row r="355">
      <c r="A355" s="34" t="n"/>
      <c r="B355" s="35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</row>
    <row r="356">
      <c r="A356" s="32" t="n"/>
      <c r="B356" s="33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</row>
    <row r="357">
      <c r="A357" s="34" t="n"/>
      <c r="B357" s="35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</row>
    <row r="358">
      <c r="A358" s="32" t="n"/>
      <c r="B358" s="33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</row>
    <row r="359">
      <c r="A359" s="34" t="n"/>
      <c r="B359" s="35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</row>
    <row r="360">
      <c r="A360" s="32" t="n"/>
      <c r="B360" s="33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</row>
    <row r="361">
      <c r="A361" s="34" t="n"/>
      <c r="B361" s="35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</row>
    <row r="362">
      <c r="A362" s="32" t="n"/>
      <c r="B362" s="33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</row>
    <row r="363">
      <c r="A363" s="34" t="n"/>
      <c r="B363" s="35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</row>
    <row r="364">
      <c r="A364" s="32" t="n"/>
      <c r="B364" s="33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</row>
    <row r="365">
      <c r="A365" s="34" t="n"/>
      <c r="B365" s="35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</row>
    <row r="366">
      <c r="A366" s="32" t="n"/>
      <c r="B366" s="33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</row>
    <row r="367">
      <c r="A367" s="34" t="n"/>
      <c r="B367" s="35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</row>
    <row r="368">
      <c r="A368" s="32" t="n"/>
      <c r="B368" s="33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</row>
    <row r="369">
      <c r="A369" s="34" t="n"/>
      <c r="B369" s="35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</row>
    <row r="370">
      <c r="A370" s="32" t="n"/>
      <c r="B370" s="33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</row>
    <row r="371">
      <c r="A371" s="34" t="n"/>
      <c r="B371" s="35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</row>
    <row r="372">
      <c r="A372" s="32" t="n"/>
      <c r="B372" s="33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</row>
    <row r="373">
      <c r="A373" s="34" t="n"/>
      <c r="B373" s="35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</row>
    <row r="374">
      <c r="A374" s="32" t="n"/>
      <c r="B374" s="33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</row>
    <row r="375">
      <c r="A375" s="34" t="n"/>
      <c r="B375" s="35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</row>
    <row r="376">
      <c r="A376" s="32" t="n"/>
      <c r="B376" s="33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</row>
    <row r="377">
      <c r="A377" s="34" t="n"/>
      <c r="B377" s="35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</row>
    <row r="378">
      <c r="A378" s="32" t="n"/>
      <c r="B378" s="33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</row>
    <row r="379">
      <c r="A379" s="34" t="n"/>
      <c r="B379" s="35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</row>
    <row r="380">
      <c r="A380" s="32" t="n"/>
      <c r="B380" s="33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</row>
    <row r="381">
      <c r="A381" s="34" t="n"/>
      <c r="B381" s="35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</row>
    <row r="382">
      <c r="A382" s="32" t="n"/>
      <c r="B382" s="33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</row>
    <row r="383">
      <c r="A383" s="34" t="n"/>
      <c r="B383" s="35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</row>
    <row r="384">
      <c r="A384" s="32" t="n"/>
      <c r="B384" s="33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</row>
    <row r="385">
      <c r="A385" s="34" t="n"/>
      <c r="B385" s="35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</row>
    <row r="386">
      <c r="A386" s="32" t="n"/>
      <c r="B386" s="33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</row>
    <row r="387">
      <c r="A387" s="34" t="n"/>
      <c r="B387" s="35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</row>
    <row r="388">
      <c r="A388" s="32" t="n"/>
      <c r="B388" s="33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</row>
    <row r="389">
      <c r="A389" s="34" t="n"/>
      <c r="B389" s="35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</row>
    <row r="390">
      <c r="A390" s="32" t="n"/>
      <c r="B390" s="33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</row>
    <row r="391">
      <c r="A391" s="34" t="n"/>
      <c r="B391" s="35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</row>
    <row r="392">
      <c r="A392" s="32" t="n"/>
      <c r="B392" s="33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</row>
    <row r="393">
      <c r="A393" s="34" t="n"/>
      <c r="B393" s="35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</row>
    <row r="394">
      <c r="A394" s="32" t="n"/>
      <c r="B394" s="33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</row>
    <row r="395">
      <c r="A395" s="34" t="n"/>
      <c r="B395" s="35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</row>
    <row r="396">
      <c r="A396" s="32" t="n"/>
      <c r="B396" s="33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</row>
    <row r="397">
      <c r="A397" s="34" t="n"/>
      <c r="B397" s="35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</row>
    <row r="398">
      <c r="A398" s="32" t="n"/>
      <c r="B398" s="33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</row>
    <row r="399">
      <c r="A399" s="34" t="n"/>
      <c r="B399" s="35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</row>
  </sheetData>
  <autoFilter ref="A1:K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Listas!$A$2:$A$56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2026-10-11T00:25:40Z</dcterms:created>
  <dcterms:modified xmlns:dcterms="http://purl.org/dc/terms/" xmlns:xsi="http://www.w3.org/2001/XMLSchema-instance" xsi:type="dcterms:W3CDTF">2026-10-11T00:25:41Z</dcterms:modified>
</cp:coreProperties>
</file>