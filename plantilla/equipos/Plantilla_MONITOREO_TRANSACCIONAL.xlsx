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Pendientes_Tipificar" sheetId="4" state="visible" r:id="rId4"/>
    <sheet xmlns:r="http://schemas.openxmlformats.org/officeDocument/2006/relationships" name="Lado a Lado" sheetId="5" state="visible" r:id="rId5"/>
  </sheets>
  <definedNames>
    <definedName name="_xlnm._FilterDatabase" localSheetId="3" hidden="1">'Pendientes_Tipificar'!$A$1:$I$1</definedName>
    <definedName name="_xlnm._FilterDatabase" localSheetId="4" hidden="1">'Lado a Lado'!$A$1:$K$1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color rgb="003D566E"/>
      <sz val="10"/>
    </font>
    <font>
      <b val="1"/>
      <color rgb="0014323F"/>
      <sz val="11.5"/>
    </font>
    <font>
      <b val="1"/>
      <color rgb="007C4A08"/>
      <sz val="10"/>
    </font>
    <font>
      <b val="1"/>
      <color rgb="00FFFFFF"/>
      <sz val="9.5"/>
    </font>
    <font>
      <b val="1"/>
      <color rgb="0014323F"/>
      <sz val="8.5"/>
    </font>
    <font>
      <color rgb="0064748B"/>
      <sz val="9.5"/>
    </font>
    <font>
      <b val="1"/>
      <color rgb="0014323F"/>
      <sz val="10"/>
    </font>
    <font>
      <color rgb="003D566E"/>
      <sz val="9.5"/>
    </font>
    <font>
      <color rgb="007A8CA3"/>
      <sz val="9"/>
    </font>
    <font>
      <b val="1"/>
      <color rgb="00475569"/>
      <sz val="9"/>
    </font>
    <font>
      <b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4323F"/>
      </patternFill>
    </fill>
    <fill>
      <patternFill patternType="solid">
        <fgColor rgb="00E8F1EE"/>
      </patternFill>
    </fill>
    <fill>
      <patternFill patternType="solid">
        <fgColor rgb="00FEF6E7"/>
      </patternFill>
    </fill>
    <fill>
      <patternFill patternType="solid">
        <fgColor rgb="000E7C66"/>
      </patternFill>
    </fill>
    <fill>
      <patternFill patternType="solid">
        <fgColor rgb="001B4F7E"/>
      </patternFill>
    </fill>
    <fill>
      <patternFill patternType="solid">
        <fgColor rgb="00FFFDF4"/>
      </patternFill>
    </fill>
    <fill>
      <patternFill patternType="solid">
        <fgColor rgb="00F1F5F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CE5EC"/>
      </left>
      <right style="thin">
        <color rgb="00DCE5EC"/>
      </right>
      <top style="thin">
        <color rgb="00DCE5EC"/>
      </top>
      <bottom style="thin">
        <color rgb="00DCE5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49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0" fillId="7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1" fontId="0" fillId="7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3" fontId="0" fillId="7" borderId="1" applyAlignment="1" pivotButton="0" quotePrefix="0" xfId="0">
      <alignment horizontal="center"/>
    </xf>
    <xf numFmtId="164" fontId="7" fillId="9" borderId="1" applyAlignment="1" pivotButton="0" quotePrefix="0" xfId="0">
      <alignment horizontal="center"/>
    </xf>
    <xf numFmtId="1" fontId="7" fillId="9" borderId="1" applyAlignment="1" pivotButton="0" quotePrefix="0" xfId="0">
      <alignment horizontal="center"/>
    </xf>
    <xf numFmtId="0" fontId="12" fillId="0" borderId="0" pivotButton="0" quotePrefix="0" xfId="0"/>
    <xf numFmtId="49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9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4" customHeight="1">
      <c r="B2" s="1" t="inlineStr">
        <is>
          <t>PLANTILLA DE RESULTADOS — MONITOREO TRANSACCIONAL</t>
        </is>
      </c>
    </row>
    <row r="4" ht="40.5" customHeight="1">
      <c r="B4" s="2" t="inlineStr">
        <is>
          <t>Equipo de Alex Dotor.
Diligencia este archivo y cárgalo en el tablero con el botón «Cargar Excel». De ahí sale el portal que les repartes a los agentes.</t>
        </is>
      </c>
    </row>
    <row r="6" ht="24" customHeight="1">
      <c r="B6" s="3" t="inlineStr">
        <is>
          <t>LAS HOJAS</t>
        </is>
      </c>
    </row>
    <row r="7" ht="40.5" customHeight="1">
      <c r="B7" s="2" t="inlineStr">
        <is>
          <t>· Indicadores — los resultados del mes, un agente por fila.
· Pendientes_Tipificar — la cola de interacciones sin tipificar.
· Lado a Lado — los acompañamientos, con la observación de cada criterio.</t>
        </is>
      </c>
    </row>
    <row r="9" ht="15" customHeight="1">
      <c r="B9" s="4" t="inlineStr">
        <is>
          <t>No les cambies el nombre a las hojas. El tablero las busca por el nombre; si una se llama distinto, no la lee y no avisa.</t>
        </is>
      </c>
    </row>
    <row r="11" ht="24" customHeight="1">
      <c r="B11" s="3" t="inlineStr">
        <is>
          <t>CÓMO SE LEEN LOS INDICADORES</t>
        </is>
      </c>
    </row>
    <row r="12" ht="67.5" customHeight="1">
      <c r="B12" s="2" t="inlineStr">
        <is>
          <t>La fila 1 trae el nombre del indicador y la fila 2 sus tres columnas: RESULTADO, META y CUMPLIMIENTO. Desde la fila 3 va un agente por fila.
Puedes agregar indicadores o quitar los que no uses: basta con respetar ese bloque de tres columnas. El tablero los descubre solos.
Las columnas de cédula, nombre, skill y jefe_inmediato no se tocan: con ellas el tablero sabe a quién pertenece cada fila y de qué grupo es.</t>
        </is>
      </c>
    </row>
    <row r="14" ht="24" customHeight="1">
      <c r="B14" s="3" t="inlineStr">
        <is>
          <t>ESTO ES LO MÁS IMPORTANTE DE TODO EL ARCHIVO</t>
        </is>
      </c>
    </row>
    <row r="15" ht="90" customHeight="1">
      <c r="B15" s="4" t="inlineStr">
        <is>
          <t>El tablero decide si alguien cumple comparando el RESULTADO con la META. Para saber hacia qué lado, mira el NOMBRE del indicador:
· Si contiene TMO, TMR, AHT, TIEMPO, AUSENTISMO, ABANDONO, DESCONEXIÓN, ERROR, MAL RADICADO, MORA o ESPERA, cumplir es quedar POR DEBAJO de la meta.
· En todos los demás, cumplir es quedar POR ENCIMA.
Si creas un indicador donde menos es mejor, ponle un nombre con alguna de esas palabras. «REPROCESOS» se leería al revés; «ERRORES DE REPROCESO» se lee bien.</t>
        </is>
      </c>
    </row>
    <row r="17" ht="24" customHeight="1">
      <c r="B17" s="3" t="inlineStr">
        <is>
          <t>CÓMO SE ESCRIBE CADA DATO</t>
        </is>
      </c>
    </row>
    <row r="18" ht="81" customHeight="1">
      <c r="B18" s="2" t="inlineStr">
        <is>
          <t>· Porcentajes: escribe 95% o 0,95. La celda ya viene con formato de porcentaje.
· TMO: en SEGUNDOS enteros, como 410. No escribas 6:50. El tablero lo muestra convertido a minutos y segundos, pero la comparación tiene que ser entre números.
· Cantidades: números enteros.
· Si un agente no tiene medición, deja la celda vacía: sale en rojo y se nota.
· Si un indicador queda en blanco para TODO el equipo, el tablero entiende que aún no se ha medido y no lo cuenta.
· La columna CUMPLIMIENTO se calcula sola; es para verlo aquí.</t>
        </is>
      </c>
    </row>
    <row r="20" ht="24" customHeight="1">
      <c r="B20" s="3" t="inlineStr">
        <is>
          <t>PENDIENTES Y LADO A LADO</t>
        </is>
      </c>
    </row>
    <row r="21" ht="67.5" customHeight="1">
      <c r="B21" s="2" t="inlineStr">
        <is>
          <t>El nombre del agente tiene que quedar escrito IGUAL que en la hoja de indicadores: por ahí se cruzan las hojas. Usa el desplegable de la primera columna y no habrá problema.
En la columna del enlace pega la URL completa de la interacción; el agente tendrá el botón para abrirla.
En lado a lado va una fila por acompañamiento. No se califica con nota: lo que vale es lo que escribas en cada criterio. Las columnas de criterio son libres.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 ht="26" customHeight="1">
      <c r="A1" s="5" t="inlineStr">
        <is>
          <t>AGENTES</t>
        </is>
      </c>
      <c r="B1" s="6" t="n"/>
      <c r="C1" s="6" t="n"/>
      <c r="D1" s="6" t="n"/>
      <c r="E1" s="7" t="inlineStr">
        <is>
          <t>ADHERENCIA</t>
        </is>
      </c>
      <c r="F1" s="6" t="n"/>
      <c r="G1" s="6" t="n"/>
      <c r="H1" s="8" t="inlineStr">
        <is>
          <t>CALIDAD</t>
        </is>
      </c>
      <c r="I1" s="9" t="n"/>
      <c r="J1" s="9" t="n"/>
      <c r="K1" s="7" t="inlineStr">
        <is>
          <t>ENCUESTAS</t>
        </is>
      </c>
      <c r="L1" s="6" t="n"/>
      <c r="M1" s="6" t="n"/>
      <c r="N1" s="8" t="inlineStr">
        <is>
          <t>TIPIFICACION</t>
        </is>
      </c>
      <c r="O1" s="9" t="n"/>
      <c r="P1" s="9" t="n"/>
      <c r="Q1" s="7" t="inlineStr">
        <is>
          <t>NIVEL DE SERVICIO</t>
        </is>
      </c>
      <c r="R1" s="6" t="n"/>
      <c r="S1" s="6" t="n"/>
      <c r="T1" s="8" t="inlineStr">
        <is>
          <t>TMO</t>
        </is>
      </c>
      <c r="U1" s="9" t="n"/>
      <c r="V1" s="9" t="n"/>
      <c r="W1" s="7" t="inlineStr">
        <is>
          <t>ABANDONO</t>
        </is>
      </c>
      <c r="X1" s="6" t="n"/>
      <c r="Y1" s="6" t="n"/>
      <c r="Z1" s="8" t="inlineStr">
        <is>
          <t>AUSENTISMO</t>
        </is>
      </c>
      <c r="AA1" s="9" t="n"/>
      <c r="AB1" s="9" t="n"/>
      <c r="AC1" s="7" t="inlineStr">
        <is>
          <t>MAL RADICADOS</t>
        </is>
      </c>
      <c r="AD1" s="6" t="n"/>
      <c r="AE1" s="6" t="n"/>
      <c r="AF1" s="8" t="inlineStr">
        <is>
          <t>MORA</t>
        </is>
      </c>
      <c r="AG1" s="9" t="n"/>
      <c r="AH1" s="9" t="n"/>
      <c r="AI1" s="10" t="inlineStr">
        <is>
          <t>PRODUCTIVIDAD</t>
        </is>
      </c>
      <c r="AJ1" s="11" t="n"/>
    </row>
    <row r="2" ht="30" customHeight="1">
      <c r="A2" s="12" t="inlineStr">
        <is>
          <t>cedula</t>
        </is>
      </c>
      <c r="B2" s="12" t="inlineStr">
        <is>
          <t>nombre_completo</t>
        </is>
      </c>
      <c r="C2" s="12" t="inlineStr">
        <is>
          <t>skill</t>
        </is>
      </c>
      <c r="D2" s="12" t="inlineStr">
        <is>
          <t>jefe_inmediato</t>
        </is>
      </c>
      <c r="E2" s="12" t="inlineStr">
        <is>
          <t>RESULTADO</t>
        </is>
      </c>
      <c r="F2" s="12" t="inlineStr">
        <is>
          <t>META</t>
        </is>
      </c>
      <c r="G2" s="12" t="inlineStr">
        <is>
          <t>CUMPLIMIENTO</t>
        </is>
      </c>
      <c r="H2" s="12" t="inlineStr">
        <is>
          <t>RESULTADO</t>
        </is>
      </c>
      <c r="I2" s="12" t="inlineStr">
        <is>
          <t>META</t>
        </is>
      </c>
      <c r="J2" s="12" t="inlineStr">
        <is>
          <t>CUMPLIMIENTO</t>
        </is>
      </c>
      <c r="K2" s="12" t="inlineStr">
        <is>
          <t>RESULTADO</t>
        </is>
      </c>
      <c r="L2" s="12" t="inlineStr">
        <is>
          <t>META</t>
        </is>
      </c>
      <c r="M2" s="12" t="inlineStr">
        <is>
          <t>CUMPLIMIENTO</t>
        </is>
      </c>
      <c r="N2" s="12" t="inlineStr">
        <is>
          <t>RESULTADO</t>
        </is>
      </c>
      <c r="O2" s="12" t="inlineStr">
        <is>
          <t>META</t>
        </is>
      </c>
      <c r="P2" s="12" t="inlineStr">
        <is>
          <t>CUMPLIMIENTO</t>
        </is>
      </c>
      <c r="Q2" s="12" t="inlineStr">
        <is>
          <t>RESULTADO</t>
        </is>
      </c>
      <c r="R2" s="12" t="inlineStr">
        <is>
          <t>META</t>
        </is>
      </c>
      <c r="S2" s="12" t="inlineStr">
        <is>
          <t>CUMPLIMIENTO</t>
        </is>
      </c>
      <c r="T2" s="12" t="inlineStr">
        <is>
          <t>RESULTADO</t>
        </is>
      </c>
      <c r="U2" s="12" t="inlineStr">
        <is>
          <t>META</t>
        </is>
      </c>
      <c r="V2" s="12" t="inlineStr">
        <is>
          <t>CUMPLIMIENTO</t>
        </is>
      </c>
      <c r="W2" s="12" t="inlineStr">
        <is>
          <t>RESULTADO</t>
        </is>
      </c>
      <c r="X2" s="12" t="inlineStr">
        <is>
          <t>META</t>
        </is>
      </c>
      <c r="Y2" s="12" t="inlineStr">
        <is>
          <t>CUMPLIMIENTO</t>
        </is>
      </c>
      <c r="Z2" s="12" t="inlineStr">
        <is>
          <t>RESULTADO</t>
        </is>
      </c>
      <c r="AA2" s="12" t="inlineStr">
        <is>
          <t>META</t>
        </is>
      </c>
      <c r="AB2" s="12" t="inlineStr">
        <is>
          <t>CUMPLIMIENTO</t>
        </is>
      </c>
      <c r="AC2" s="12" t="inlineStr">
        <is>
          <t>RESULTADO</t>
        </is>
      </c>
      <c r="AD2" s="12" t="inlineStr">
        <is>
          <t>META</t>
        </is>
      </c>
      <c r="AE2" s="12" t="inlineStr">
        <is>
          <t>CUMPLIMIENTO</t>
        </is>
      </c>
      <c r="AF2" s="12" t="inlineStr">
        <is>
          <t>RESULTADO</t>
        </is>
      </c>
      <c r="AG2" s="12" t="inlineStr">
        <is>
          <t>META</t>
        </is>
      </c>
      <c r="AH2" s="12" t="inlineStr">
        <is>
          <t>CUMPLIMIENTO</t>
        </is>
      </c>
      <c r="AI2" s="12" t="inlineStr">
        <is>
          <t>contestados</t>
        </is>
      </c>
      <c r="AJ2" s="12" t="inlineStr">
        <is>
          <t>promedio_diario</t>
        </is>
      </c>
    </row>
    <row r="3">
      <c r="A3" s="13" t="inlineStr">
        <is>
          <t>6079952</t>
        </is>
      </c>
      <c r="B3" s="14" t="inlineStr">
        <is>
          <t>AGUILAR GUERRERO FELIX ALBERTO</t>
        </is>
      </c>
      <c r="C3" s="15" t="inlineStr">
        <is>
          <t>MONITOREO TRANSACCIONAL</t>
        </is>
      </c>
      <c r="D3" s="16" t="inlineStr">
        <is>
          <t>DOTOR SANTIAGO ALEX ALEJANDRO</t>
        </is>
      </c>
      <c r="E3" s="17" t="n"/>
      <c r="F3" s="18" t="n">
        <v>0.95</v>
      </c>
      <c r="G3" s="19">
        <f>IF(E3="","",IF(E3&gt;=F3,"CUMPLE","NO CUMPLE"))</f>
        <v/>
      </c>
      <c r="H3" s="17" t="n"/>
      <c r="I3" s="18" t="n">
        <v>0.9</v>
      </c>
      <c r="J3" s="19">
        <f>IF(H3="","",IF(H3&gt;=I3,"CUMPLE","NO CUMPLE"))</f>
        <v/>
      </c>
      <c r="K3" s="17" t="n"/>
      <c r="L3" s="18" t="n">
        <v>0.8</v>
      </c>
      <c r="M3" s="19">
        <f>IF(K3="","",IF(K3&gt;=L3,"CUMPLE","NO CUMPLE"))</f>
        <v/>
      </c>
      <c r="N3" s="17" t="n"/>
      <c r="O3" s="18" t="n">
        <v>0.98</v>
      </c>
      <c r="P3" s="19">
        <f>IF(N3="","",IF(N3&gt;=O3,"CUMPLE","NO CUMPLE"))</f>
        <v/>
      </c>
      <c r="Q3" s="17" t="n"/>
      <c r="R3" s="18" t="n">
        <v>0.9</v>
      </c>
      <c r="S3" s="19">
        <f>IF(Q3="","",IF(Q3&gt;=R3,"CUMPLE","NO CUMPLE"))</f>
        <v/>
      </c>
      <c r="T3" s="20" t="n"/>
      <c r="U3" s="21" t="n">
        <v>410</v>
      </c>
      <c r="V3" s="19">
        <f>IF(T3="","",IF(T3&lt;=U3,"CUMPLE","NO CUMPLE"))</f>
        <v/>
      </c>
      <c r="W3" s="17" t="n"/>
      <c r="X3" s="18" t="n">
        <v>0.05</v>
      </c>
      <c r="Y3" s="19">
        <f>IF(W3="","",IF(W3&lt;=X3,"CUMPLE","NO CUMPLE"))</f>
        <v/>
      </c>
      <c r="Z3" s="17" t="n"/>
      <c r="AA3" s="18" t="n">
        <v>0.03</v>
      </c>
      <c r="AB3" s="19">
        <f>IF(Z3="","",IF(Z3&lt;=AA3,"CUMPLE","NO CUMPLE"))</f>
        <v/>
      </c>
      <c r="AC3" s="17" t="n"/>
      <c r="AD3" s="18" t="n">
        <v>0.02</v>
      </c>
      <c r="AE3" s="19">
        <f>IF(AC3="","",IF(AC3&lt;=AD3,"CUMPLE","NO CUMPLE"))</f>
        <v/>
      </c>
      <c r="AF3" s="17" t="n"/>
      <c r="AG3" s="18" t="n">
        <v>0.05</v>
      </c>
      <c r="AH3" s="19">
        <f>IF(AF3="","",IF(AF3&lt;=AG3,"CUMPLE","NO CUMPLE"))</f>
        <v/>
      </c>
      <c r="AI3" s="22" t="n"/>
      <c r="AJ3" s="22" t="n"/>
    </row>
    <row r="4">
      <c r="A4" s="13" t="inlineStr">
        <is>
          <t>1014291349</t>
        </is>
      </c>
      <c r="B4" s="14" t="inlineStr">
        <is>
          <t>BOLIVAR JARAMILLO CRISTIAN SANTIAGO</t>
        </is>
      </c>
      <c r="C4" s="15" t="inlineStr">
        <is>
          <t>MONITOREO TRANSACCIONAL</t>
        </is>
      </c>
      <c r="D4" s="16" t="inlineStr">
        <is>
          <t>DOTOR SANTIAGO ALEX ALEJANDRO</t>
        </is>
      </c>
      <c r="E4" s="17" t="n"/>
      <c r="F4" s="23" t="n">
        <v>0.95</v>
      </c>
      <c r="G4" s="19">
        <f>IF(E4="","",IF(E4&gt;=F4,"CUMPLE","NO CUMPLE"))</f>
        <v/>
      </c>
      <c r="H4" s="17" t="n"/>
      <c r="I4" s="23" t="n">
        <v>0.9</v>
      </c>
      <c r="J4" s="19">
        <f>IF(H4="","",IF(H4&gt;=I4,"CUMPLE","NO CUMPLE"))</f>
        <v/>
      </c>
      <c r="K4" s="17" t="n"/>
      <c r="L4" s="23" t="n">
        <v>0.8</v>
      </c>
      <c r="M4" s="19">
        <f>IF(K4="","",IF(K4&gt;=L4,"CUMPLE","NO CUMPLE"))</f>
        <v/>
      </c>
      <c r="N4" s="17" t="n"/>
      <c r="O4" s="23" t="n">
        <v>0.98</v>
      </c>
      <c r="P4" s="19">
        <f>IF(N4="","",IF(N4&gt;=O4,"CUMPLE","NO CUMPLE"))</f>
        <v/>
      </c>
      <c r="Q4" s="17" t="n"/>
      <c r="R4" s="23" t="n">
        <v>0.9</v>
      </c>
      <c r="S4" s="19">
        <f>IF(Q4="","",IF(Q4&gt;=R4,"CUMPLE","NO CUMPLE"))</f>
        <v/>
      </c>
      <c r="T4" s="20" t="n"/>
      <c r="U4" s="24" t="n">
        <v>410</v>
      </c>
      <c r="V4" s="19">
        <f>IF(T4="","",IF(T4&lt;=U4,"CUMPLE","NO CUMPLE"))</f>
        <v/>
      </c>
      <c r="W4" s="17" t="n"/>
      <c r="X4" s="23" t="n">
        <v>0.05</v>
      </c>
      <c r="Y4" s="19">
        <f>IF(W4="","",IF(W4&lt;=X4,"CUMPLE","NO CUMPLE"))</f>
        <v/>
      </c>
      <c r="Z4" s="17" t="n"/>
      <c r="AA4" s="23" t="n">
        <v>0.03</v>
      </c>
      <c r="AB4" s="19">
        <f>IF(Z4="","",IF(Z4&lt;=AA4,"CUMPLE","NO CUMPLE"))</f>
        <v/>
      </c>
      <c r="AC4" s="17" t="n"/>
      <c r="AD4" s="23" t="n">
        <v>0.02</v>
      </c>
      <c r="AE4" s="19">
        <f>IF(AC4="","",IF(AC4&lt;=AD4,"CUMPLE","NO CUMPLE"))</f>
        <v/>
      </c>
      <c r="AF4" s="17" t="n"/>
      <c r="AG4" s="23" t="n">
        <v>0.05</v>
      </c>
      <c r="AH4" s="19">
        <f>IF(AF4="","",IF(AF4&lt;=AG4,"CUMPLE","NO CUMPLE"))</f>
        <v/>
      </c>
      <c r="AI4" s="22" t="n"/>
      <c r="AJ4" s="22" t="n"/>
    </row>
    <row r="5">
      <c r="A5" s="13" t="inlineStr">
        <is>
          <t>1062078571</t>
        </is>
      </c>
      <c r="B5" s="14" t="inlineStr">
        <is>
          <t>CALIZ YONDA INGRID YULIETH</t>
        </is>
      </c>
      <c r="C5" s="15" t="inlineStr">
        <is>
          <t>MONITOREO TRANSACCIONAL</t>
        </is>
      </c>
      <c r="D5" s="16" t="inlineStr">
        <is>
          <t>DOTOR SANTIAGO ALEX ALEJANDRO</t>
        </is>
      </c>
      <c r="E5" s="17" t="n"/>
      <c r="F5" s="18" t="n">
        <v>0.95</v>
      </c>
      <c r="G5" s="19">
        <f>IF(E5="","",IF(E5&gt;=F5,"CUMPLE","NO CUMPLE"))</f>
        <v/>
      </c>
      <c r="H5" s="17" t="n"/>
      <c r="I5" s="18" t="n">
        <v>0.9</v>
      </c>
      <c r="J5" s="19">
        <f>IF(H5="","",IF(H5&gt;=I5,"CUMPLE","NO CUMPLE"))</f>
        <v/>
      </c>
      <c r="K5" s="17" t="n"/>
      <c r="L5" s="18" t="n">
        <v>0.8</v>
      </c>
      <c r="M5" s="19">
        <f>IF(K5="","",IF(K5&gt;=L5,"CUMPLE","NO CUMPLE"))</f>
        <v/>
      </c>
      <c r="N5" s="17" t="n"/>
      <c r="O5" s="18" t="n">
        <v>0.98</v>
      </c>
      <c r="P5" s="19">
        <f>IF(N5="","",IF(N5&gt;=O5,"CUMPLE","NO CUMPLE"))</f>
        <v/>
      </c>
      <c r="Q5" s="17" t="n"/>
      <c r="R5" s="18" t="n">
        <v>0.9</v>
      </c>
      <c r="S5" s="19">
        <f>IF(Q5="","",IF(Q5&gt;=R5,"CUMPLE","NO CUMPLE"))</f>
        <v/>
      </c>
      <c r="T5" s="20" t="n"/>
      <c r="U5" s="21" t="n">
        <v>410</v>
      </c>
      <c r="V5" s="19">
        <f>IF(T5="","",IF(T5&lt;=U5,"CUMPLE","NO CUMPLE"))</f>
        <v/>
      </c>
      <c r="W5" s="17" t="n"/>
      <c r="X5" s="18" t="n">
        <v>0.05</v>
      </c>
      <c r="Y5" s="19">
        <f>IF(W5="","",IF(W5&lt;=X5,"CUMPLE","NO CUMPLE"))</f>
        <v/>
      </c>
      <c r="Z5" s="17" t="n"/>
      <c r="AA5" s="18" t="n">
        <v>0.03</v>
      </c>
      <c r="AB5" s="19">
        <f>IF(Z5="","",IF(Z5&lt;=AA5,"CUMPLE","NO CUMPLE"))</f>
        <v/>
      </c>
      <c r="AC5" s="17" t="n"/>
      <c r="AD5" s="18" t="n">
        <v>0.02</v>
      </c>
      <c r="AE5" s="19">
        <f>IF(AC5="","",IF(AC5&lt;=AD5,"CUMPLE","NO CUMPLE"))</f>
        <v/>
      </c>
      <c r="AF5" s="17" t="n"/>
      <c r="AG5" s="18" t="n">
        <v>0.05</v>
      </c>
      <c r="AH5" s="19">
        <f>IF(AF5="","",IF(AF5&lt;=AG5,"CUMPLE","NO CUMPLE"))</f>
        <v/>
      </c>
      <c r="AI5" s="22" t="n"/>
      <c r="AJ5" s="22" t="n"/>
    </row>
    <row r="6">
      <c r="A6" s="13" t="inlineStr">
        <is>
          <t>1018480929</t>
        </is>
      </c>
      <c r="B6" s="14" t="inlineStr">
        <is>
          <t>CASTIBLANCO VICENTES JOHN DEYVY</t>
        </is>
      </c>
      <c r="C6" s="15" t="inlineStr">
        <is>
          <t>MONITOREO TRANSACCIONAL</t>
        </is>
      </c>
      <c r="D6" s="16" t="inlineStr">
        <is>
          <t>DOTOR SANTIAGO ALEX ALEJANDRO</t>
        </is>
      </c>
      <c r="E6" s="17" t="n"/>
      <c r="F6" s="23" t="n">
        <v>0.95</v>
      </c>
      <c r="G6" s="19">
        <f>IF(E6="","",IF(E6&gt;=F6,"CUMPLE","NO CUMPLE"))</f>
        <v/>
      </c>
      <c r="H6" s="17" t="n"/>
      <c r="I6" s="23" t="n">
        <v>0.9</v>
      </c>
      <c r="J6" s="19">
        <f>IF(H6="","",IF(H6&gt;=I6,"CUMPLE","NO CUMPLE"))</f>
        <v/>
      </c>
      <c r="K6" s="17" t="n"/>
      <c r="L6" s="23" t="n">
        <v>0.8</v>
      </c>
      <c r="M6" s="19">
        <f>IF(K6="","",IF(K6&gt;=L6,"CUMPLE","NO CUMPLE"))</f>
        <v/>
      </c>
      <c r="N6" s="17" t="n"/>
      <c r="O6" s="23" t="n">
        <v>0.98</v>
      </c>
      <c r="P6" s="19">
        <f>IF(N6="","",IF(N6&gt;=O6,"CUMPLE","NO CUMPLE"))</f>
        <v/>
      </c>
      <c r="Q6" s="17" t="n"/>
      <c r="R6" s="23" t="n">
        <v>0.9</v>
      </c>
      <c r="S6" s="19">
        <f>IF(Q6="","",IF(Q6&gt;=R6,"CUMPLE","NO CUMPLE"))</f>
        <v/>
      </c>
      <c r="T6" s="20" t="n"/>
      <c r="U6" s="24" t="n">
        <v>410</v>
      </c>
      <c r="V6" s="19">
        <f>IF(T6="","",IF(T6&lt;=U6,"CUMPLE","NO CUMPLE"))</f>
        <v/>
      </c>
      <c r="W6" s="17" t="n"/>
      <c r="X6" s="23" t="n">
        <v>0.05</v>
      </c>
      <c r="Y6" s="19">
        <f>IF(W6="","",IF(W6&lt;=X6,"CUMPLE","NO CUMPLE"))</f>
        <v/>
      </c>
      <c r="Z6" s="17" t="n"/>
      <c r="AA6" s="23" t="n">
        <v>0.03</v>
      </c>
      <c r="AB6" s="19">
        <f>IF(Z6="","",IF(Z6&lt;=AA6,"CUMPLE","NO CUMPLE"))</f>
        <v/>
      </c>
      <c r="AC6" s="17" t="n"/>
      <c r="AD6" s="23" t="n">
        <v>0.02</v>
      </c>
      <c r="AE6" s="19">
        <f>IF(AC6="","",IF(AC6&lt;=AD6,"CUMPLE","NO CUMPLE"))</f>
        <v/>
      </c>
      <c r="AF6" s="17" t="n"/>
      <c r="AG6" s="23" t="n">
        <v>0.05</v>
      </c>
      <c r="AH6" s="19">
        <f>IF(AF6="","",IF(AF6&lt;=AG6,"CUMPLE","NO CUMPLE"))</f>
        <v/>
      </c>
      <c r="AI6" s="22" t="n"/>
      <c r="AJ6" s="22" t="n"/>
    </row>
    <row r="7">
      <c r="A7" s="13" t="inlineStr">
        <is>
          <t>1002297526</t>
        </is>
      </c>
      <c r="B7" s="14" t="inlineStr">
        <is>
          <t>CELIS SALAS YADIRA</t>
        </is>
      </c>
      <c r="C7" s="15" t="inlineStr">
        <is>
          <t>MONITOREO TRANSACCIONAL</t>
        </is>
      </c>
      <c r="D7" s="16" t="inlineStr">
        <is>
          <t>DOTOR SANTIAGO ALEX ALEJANDRO</t>
        </is>
      </c>
      <c r="E7" s="17" t="n"/>
      <c r="F7" s="18" t="n">
        <v>0.95</v>
      </c>
      <c r="G7" s="19">
        <f>IF(E7="","",IF(E7&gt;=F7,"CUMPLE","NO CUMPLE"))</f>
        <v/>
      </c>
      <c r="H7" s="17" t="n"/>
      <c r="I7" s="18" t="n">
        <v>0.9</v>
      </c>
      <c r="J7" s="19">
        <f>IF(H7="","",IF(H7&gt;=I7,"CUMPLE","NO CUMPLE"))</f>
        <v/>
      </c>
      <c r="K7" s="17" t="n"/>
      <c r="L7" s="18" t="n">
        <v>0.8</v>
      </c>
      <c r="M7" s="19">
        <f>IF(K7="","",IF(K7&gt;=L7,"CUMPLE","NO CUMPLE"))</f>
        <v/>
      </c>
      <c r="N7" s="17" t="n"/>
      <c r="O7" s="18" t="n">
        <v>0.98</v>
      </c>
      <c r="P7" s="19">
        <f>IF(N7="","",IF(N7&gt;=O7,"CUMPLE","NO CUMPLE"))</f>
        <v/>
      </c>
      <c r="Q7" s="17" t="n"/>
      <c r="R7" s="18" t="n">
        <v>0.9</v>
      </c>
      <c r="S7" s="19">
        <f>IF(Q7="","",IF(Q7&gt;=R7,"CUMPLE","NO CUMPLE"))</f>
        <v/>
      </c>
      <c r="T7" s="20" t="n"/>
      <c r="U7" s="21" t="n">
        <v>410</v>
      </c>
      <c r="V7" s="19">
        <f>IF(T7="","",IF(T7&lt;=U7,"CUMPLE","NO CUMPLE"))</f>
        <v/>
      </c>
      <c r="W7" s="17" t="n"/>
      <c r="X7" s="18" t="n">
        <v>0.05</v>
      </c>
      <c r="Y7" s="19">
        <f>IF(W7="","",IF(W7&lt;=X7,"CUMPLE","NO CUMPLE"))</f>
        <v/>
      </c>
      <c r="Z7" s="17" t="n"/>
      <c r="AA7" s="18" t="n">
        <v>0.03</v>
      </c>
      <c r="AB7" s="19">
        <f>IF(Z7="","",IF(Z7&lt;=AA7,"CUMPLE","NO CUMPLE"))</f>
        <v/>
      </c>
      <c r="AC7" s="17" t="n"/>
      <c r="AD7" s="18" t="n">
        <v>0.02</v>
      </c>
      <c r="AE7" s="19">
        <f>IF(AC7="","",IF(AC7&lt;=AD7,"CUMPLE","NO CUMPLE"))</f>
        <v/>
      </c>
      <c r="AF7" s="17" t="n"/>
      <c r="AG7" s="18" t="n">
        <v>0.05</v>
      </c>
      <c r="AH7" s="19">
        <f>IF(AF7="","",IF(AF7&lt;=AG7,"CUMPLE","NO CUMPLE"))</f>
        <v/>
      </c>
      <c r="AI7" s="22" t="n"/>
      <c r="AJ7" s="22" t="n"/>
    </row>
    <row r="8">
      <c r="A8" s="13" t="inlineStr">
        <is>
          <t>1007408013</t>
        </is>
      </c>
      <c r="B8" s="14" t="inlineStr">
        <is>
          <t>CLAVIJO GARAY ANDERSON LEONARDO</t>
        </is>
      </c>
      <c r="C8" s="15" t="inlineStr">
        <is>
          <t>MONITOREO TRANSACCIONAL</t>
        </is>
      </c>
      <c r="D8" s="16" t="inlineStr">
        <is>
          <t>DOTOR SANTIAGO ALEX ALEJANDRO</t>
        </is>
      </c>
      <c r="E8" s="17" t="n"/>
      <c r="F8" s="23" t="n">
        <v>0.95</v>
      </c>
      <c r="G8" s="19">
        <f>IF(E8="","",IF(E8&gt;=F8,"CUMPLE","NO CUMPLE"))</f>
        <v/>
      </c>
      <c r="H8" s="17" t="n"/>
      <c r="I8" s="23" t="n">
        <v>0.9</v>
      </c>
      <c r="J8" s="19">
        <f>IF(H8="","",IF(H8&gt;=I8,"CUMPLE","NO CUMPLE"))</f>
        <v/>
      </c>
      <c r="K8" s="17" t="n"/>
      <c r="L8" s="23" t="n">
        <v>0.8</v>
      </c>
      <c r="M8" s="19">
        <f>IF(K8="","",IF(K8&gt;=L8,"CUMPLE","NO CUMPLE"))</f>
        <v/>
      </c>
      <c r="N8" s="17" t="n"/>
      <c r="O8" s="23" t="n">
        <v>0.98</v>
      </c>
      <c r="P8" s="19">
        <f>IF(N8="","",IF(N8&gt;=O8,"CUMPLE","NO CUMPLE"))</f>
        <v/>
      </c>
      <c r="Q8" s="17" t="n"/>
      <c r="R8" s="23" t="n">
        <v>0.9</v>
      </c>
      <c r="S8" s="19">
        <f>IF(Q8="","",IF(Q8&gt;=R8,"CUMPLE","NO CUMPLE"))</f>
        <v/>
      </c>
      <c r="T8" s="20" t="n"/>
      <c r="U8" s="24" t="n">
        <v>410</v>
      </c>
      <c r="V8" s="19">
        <f>IF(T8="","",IF(T8&lt;=U8,"CUMPLE","NO CUMPLE"))</f>
        <v/>
      </c>
      <c r="W8" s="17" t="n"/>
      <c r="X8" s="23" t="n">
        <v>0.05</v>
      </c>
      <c r="Y8" s="19">
        <f>IF(W8="","",IF(W8&lt;=X8,"CUMPLE","NO CUMPLE"))</f>
        <v/>
      </c>
      <c r="Z8" s="17" t="n"/>
      <c r="AA8" s="23" t="n">
        <v>0.03</v>
      </c>
      <c r="AB8" s="19">
        <f>IF(Z8="","",IF(Z8&lt;=AA8,"CUMPLE","NO CUMPLE"))</f>
        <v/>
      </c>
      <c r="AC8" s="17" t="n"/>
      <c r="AD8" s="23" t="n">
        <v>0.02</v>
      </c>
      <c r="AE8" s="19">
        <f>IF(AC8="","",IF(AC8&lt;=AD8,"CUMPLE","NO CUMPLE"))</f>
        <v/>
      </c>
      <c r="AF8" s="17" t="n"/>
      <c r="AG8" s="23" t="n">
        <v>0.05</v>
      </c>
      <c r="AH8" s="19">
        <f>IF(AF8="","",IF(AF8&lt;=AG8,"CUMPLE","NO CUMPLE"))</f>
        <v/>
      </c>
      <c r="AI8" s="22" t="n"/>
      <c r="AJ8" s="22" t="n"/>
    </row>
    <row r="9">
      <c r="A9" s="13" t="inlineStr">
        <is>
          <t>1024502402</t>
        </is>
      </c>
      <c r="B9" s="14" t="inlineStr">
        <is>
          <t>CONTRERAS GONZALEZ JULIETH</t>
        </is>
      </c>
      <c r="C9" s="15" t="inlineStr">
        <is>
          <t>MONITOREO TRANSACCIONAL</t>
        </is>
      </c>
      <c r="D9" s="16" t="inlineStr">
        <is>
          <t>DOTOR SANTIAGO ALEX ALEJANDRO</t>
        </is>
      </c>
      <c r="E9" s="17" t="n"/>
      <c r="F9" s="18" t="n">
        <v>0.95</v>
      </c>
      <c r="G9" s="19">
        <f>IF(E9="","",IF(E9&gt;=F9,"CUMPLE","NO CUMPLE"))</f>
        <v/>
      </c>
      <c r="H9" s="17" t="n"/>
      <c r="I9" s="18" t="n">
        <v>0.9</v>
      </c>
      <c r="J9" s="19">
        <f>IF(H9="","",IF(H9&gt;=I9,"CUMPLE","NO CUMPLE"))</f>
        <v/>
      </c>
      <c r="K9" s="17" t="n"/>
      <c r="L9" s="18" t="n">
        <v>0.8</v>
      </c>
      <c r="M9" s="19">
        <f>IF(K9="","",IF(K9&gt;=L9,"CUMPLE","NO CUMPLE"))</f>
        <v/>
      </c>
      <c r="N9" s="17" t="n"/>
      <c r="O9" s="18" t="n">
        <v>0.98</v>
      </c>
      <c r="P9" s="19">
        <f>IF(N9="","",IF(N9&gt;=O9,"CUMPLE","NO CUMPLE"))</f>
        <v/>
      </c>
      <c r="Q9" s="17" t="n"/>
      <c r="R9" s="18" t="n">
        <v>0.9</v>
      </c>
      <c r="S9" s="19">
        <f>IF(Q9="","",IF(Q9&gt;=R9,"CUMPLE","NO CUMPLE"))</f>
        <v/>
      </c>
      <c r="T9" s="20" t="n"/>
      <c r="U9" s="21" t="n">
        <v>410</v>
      </c>
      <c r="V9" s="19">
        <f>IF(T9="","",IF(T9&lt;=U9,"CUMPLE","NO CUMPLE"))</f>
        <v/>
      </c>
      <c r="W9" s="17" t="n"/>
      <c r="X9" s="18" t="n">
        <v>0.05</v>
      </c>
      <c r="Y9" s="19">
        <f>IF(W9="","",IF(W9&lt;=X9,"CUMPLE","NO CUMPLE"))</f>
        <v/>
      </c>
      <c r="Z9" s="17" t="n"/>
      <c r="AA9" s="18" t="n">
        <v>0.03</v>
      </c>
      <c r="AB9" s="19">
        <f>IF(Z9="","",IF(Z9&lt;=AA9,"CUMPLE","NO CUMPLE"))</f>
        <v/>
      </c>
      <c r="AC9" s="17" t="n"/>
      <c r="AD9" s="18" t="n">
        <v>0.02</v>
      </c>
      <c r="AE9" s="19">
        <f>IF(AC9="","",IF(AC9&lt;=AD9,"CUMPLE","NO CUMPLE"))</f>
        <v/>
      </c>
      <c r="AF9" s="17" t="n"/>
      <c r="AG9" s="18" t="n">
        <v>0.05</v>
      </c>
      <c r="AH9" s="19">
        <f>IF(AF9="","",IF(AF9&lt;=AG9,"CUMPLE","NO CUMPLE"))</f>
        <v/>
      </c>
      <c r="AI9" s="22" t="n"/>
      <c r="AJ9" s="22" t="n"/>
    </row>
    <row r="10">
      <c r="A10" s="13" t="inlineStr">
        <is>
          <t>1069728622</t>
        </is>
      </c>
      <c r="B10" s="14" t="inlineStr">
        <is>
          <t>CUENCA ROMERO DANIELA</t>
        </is>
      </c>
      <c r="C10" s="15" t="inlineStr">
        <is>
          <t>MONITOREO TRANSACCIONAL</t>
        </is>
      </c>
      <c r="D10" s="16" t="inlineStr">
        <is>
          <t>DOTOR SANTIAGO ALEX ALEJANDRO</t>
        </is>
      </c>
      <c r="E10" s="17" t="n"/>
      <c r="F10" s="23" t="n">
        <v>0.95</v>
      </c>
      <c r="G10" s="19">
        <f>IF(E10="","",IF(E10&gt;=F10,"CUMPLE","NO CUMPLE"))</f>
        <v/>
      </c>
      <c r="H10" s="17" t="n"/>
      <c r="I10" s="23" t="n">
        <v>0.9</v>
      </c>
      <c r="J10" s="19">
        <f>IF(H10="","",IF(H10&gt;=I10,"CUMPLE","NO CUMPLE"))</f>
        <v/>
      </c>
      <c r="K10" s="17" t="n"/>
      <c r="L10" s="23" t="n">
        <v>0.8</v>
      </c>
      <c r="M10" s="19">
        <f>IF(K10="","",IF(K10&gt;=L10,"CUMPLE","NO CUMPLE"))</f>
        <v/>
      </c>
      <c r="N10" s="17" t="n"/>
      <c r="O10" s="23" t="n">
        <v>0.98</v>
      </c>
      <c r="P10" s="19">
        <f>IF(N10="","",IF(N10&gt;=O10,"CUMPLE","NO CUMPLE"))</f>
        <v/>
      </c>
      <c r="Q10" s="17" t="n"/>
      <c r="R10" s="23" t="n">
        <v>0.9</v>
      </c>
      <c r="S10" s="19">
        <f>IF(Q10="","",IF(Q10&gt;=R10,"CUMPLE","NO CUMPLE"))</f>
        <v/>
      </c>
      <c r="T10" s="20" t="n"/>
      <c r="U10" s="24" t="n">
        <v>410</v>
      </c>
      <c r="V10" s="19">
        <f>IF(T10="","",IF(T10&lt;=U10,"CUMPLE","NO CUMPLE"))</f>
        <v/>
      </c>
      <c r="W10" s="17" t="n"/>
      <c r="X10" s="23" t="n">
        <v>0.05</v>
      </c>
      <c r="Y10" s="19">
        <f>IF(W10="","",IF(W10&lt;=X10,"CUMPLE","NO CUMPLE"))</f>
        <v/>
      </c>
      <c r="Z10" s="17" t="n"/>
      <c r="AA10" s="23" t="n">
        <v>0.03</v>
      </c>
      <c r="AB10" s="19">
        <f>IF(Z10="","",IF(Z10&lt;=AA10,"CUMPLE","NO CUMPLE"))</f>
        <v/>
      </c>
      <c r="AC10" s="17" t="n"/>
      <c r="AD10" s="23" t="n">
        <v>0.02</v>
      </c>
      <c r="AE10" s="19">
        <f>IF(AC10="","",IF(AC10&lt;=AD10,"CUMPLE","NO CUMPLE"))</f>
        <v/>
      </c>
      <c r="AF10" s="17" t="n"/>
      <c r="AG10" s="23" t="n">
        <v>0.05</v>
      </c>
      <c r="AH10" s="19">
        <f>IF(AF10="","",IF(AF10&lt;=AG10,"CUMPLE","NO CUMPLE"))</f>
        <v/>
      </c>
      <c r="AI10" s="22" t="n"/>
      <c r="AJ10" s="22" t="n"/>
    </row>
    <row r="11">
      <c r="A11" s="13" t="inlineStr">
        <is>
          <t>1007677081</t>
        </is>
      </c>
      <c r="B11" s="14" t="inlineStr">
        <is>
          <t>DIAZ LUNA SUSAN ANGELICA</t>
        </is>
      </c>
      <c r="C11" s="15" t="inlineStr">
        <is>
          <t>MONITOREO TRANSACCIONAL</t>
        </is>
      </c>
      <c r="D11" s="16" t="inlineStr">
        <is>
          <t>DOTOR SANTIAGO ALEX ALEJANDRO</t>
        </is>
      </c>
      <c r="E11" s="17" t="n"/>
      <c r="F11" s="18" t="n">
        <v>0.95</v>
      </c>
      <c r="G11" s="19">
        <f>IF(E11="","",IF(E11&gt;=F11,"CUMPLE","NO CUMPLE"))</f>
        <v/>
      </c>
      <c r="H11" s="17" t="n"/>
      <c r="I11" s="18" t="n">
        <v>0.9</v>
      </c>
      <c r="J11" s="19">
        <f>IF(H11="","",IF(H11&gt;=I11,"CUMPLE","NO CUMPLE"))</f>
        <v/>
      </c>
      <c r="K11" s="17" t="n"/>
      <c r="L11" s="18" t="n">
        <v>0.8</v>
      </c>
      <c r="M11" s="19">
        <f>IF(K11="","",IF(K11&gt;=L11,"CUMPLE","NO CUMPLE"))</f>
        <v/>
      </c>
      <c r="N11" s="17" t="n"/>
      <c r="O11" s="18" t="n">
        <v>0.98</v>
      </c>
      <c r="P11" s="19">
        <f>IF(N11="","",IF(N11&gt;=O11,"CUMPLE","NO CUMPLE"))</f>
        <v/>
      </c>
      <c r="Q11" s="17" t="n"/>
      <c r="R11" s="18" t="n">
        <v>0.9</v>
      </c>
      <c r="S11" s="19">
        <f>IF(Q11="","",IF(Q11&gt;=R11,"CUMPLE","NO CUMPLE"))</f>
        <v/>
      </c>
      <c r="T11" s="20" t="n"/>
      <c r="U11" s="21" t="n">
        <v>410</v>
      </c>
      <c r="V11" s="19">
        <f>IF(T11="","",IF(T11&lt;=U11,"CUMPLE","NO CUMPLE"))</f>
        <v/>
      </c>
      <c r="W11" s="17" t="n"/>
      <c r="X11" s="18" t="n">
        <v>0.05</v>
      </c>
      <c r="Y11" s="19">
        <f>IF(W11="","",IF(W11&lt;=X11,"CUMPLE","NO CUMPLE"))</f>
        <v/>
      </c>
      <c r="Z11" s="17" t="n"/>
      <c r="AA11" s="18" t="n">
        <v>0.03</v>
      </c>
      <c r="AB11" s="19">
        <f>IF(Z11="","",IF(Z11&lt;=AA11,"CUMPLE","NO CUMPLE"))</f>
        <v/>
      </c>
      <c r="AC11" s="17" t="n"/>
      <c r="AD11" s="18" t="n">
        <v>0.02</v>
      </c>
      <c r="AE11" s="19">
        <f>IF(AC11="","",IF(AC11&lt;=AD11,"CUMPLE","NO CUMPLE"))</f>
        <v/>
      </c>
      <c r="AF11" s="17" t="n"/>
      <c r="AG11" s="18" t="n">
        <v>0.05</v>
      </c>
      <c r="AH11" s="19">
        <f>IF(AF11="","",IF(AF11&lt;=AG11,"CUMPLE","NO CUMPLE"))</f>
        <v/>
      </c>
      <c r="AI11" s="22" t="n"/>
      <c r="AJ11" s="22" t="n"/>
    </row>
    <row r="12">
      <c r="A12" s="13" t="inlineStr">
        <is>
          <t>1031168560</t>
        </is>
      </c>
      <c r="B12" s="14" t="inlineStr">
        <is>
          <t>GARCIA CAÑON CARLAYN JHOANA</t>
        </is>
      </c>
      <c r="C12" s="15" t="inlineStr">
        <is>
          <t>MONITOREO TRANSACCIONAL</t>
        </is>
      </c>
      <c r="D12" s="16" t="inlineStr">
        <is>
          <t>DOTOR SANTIAGO ALEX ALEJANDRO</t>
        </is>
      </c>
      <c r="E12" s="17" t="n"/>
      <c r="F12" s="23" t="n">
        <v>0.95</v>
      </c>
      <c r="G12" s="19">
        <f>IF(E12="","",IF(E12&gt;=F12,"CUMPLE","NO CUMPLE"))</f>
        <v/>
      </c>
      <c r="H12" s="17" t="n"/>
      <c r="I12" s="23" t="n">
        <v>0.9</v>
      </c>
      <c r="J12" s="19">
        <f>IF(H12="","",IF(H12&gt;=I12,"CUMPLE","NO CUMPLE"))</f>
        <v/>
      </c>
      <c r="K12" s="17" t="n"/>
      <c r="L12" s="23" t="n">
        <v>0.8</v>
      </c>
      <c r="M12" s="19">
        <f>IF(K12="","",IF(K12&gt;=L12,"CUMPLE","NO CUMPLE"))</f>
        <v/>
      </c>
      <c r="N12" s="17" t="n"/>
      <c r="O12" s="23" t="n">
        <v>0.98</v>
      </c>
      <c r="P12" s="19">
        <f>IF(N12="","",IF(N12&gt;=O12,"CUMPLE","NO CUMPLE"))</f>
        <v/>
      </c>
      <c r="Q12" s="17" t="n"/>
      <c r="R12" s="23" t="n">
        <v>0.9</v>
      </c>
      <c r="S12" s="19">
        <f>IF(Q12="","",IF(Q12&gt;=R12,"CUMPLE","NO CUMPLE"))</f>
        <v/>
      </c>
      <c r="T12" s="20" t="n"/>
      <c r="U12" s="24" t="n">
        <v>410</v>
      </c>
      <c r="V12" s="19">
        <f>IF(T12="","",IF(T12&lt;=U12,"CUMPLE","NO CUMPLE"))</f>
        <v/>
      </c>
      <c r="W12" s="17" t="n"/>
      <c r="X12" s="23" t="n">
        <v>0.05</v>
      </c>
      <c r="Y12" s="19">
        <f>IF(W12="","",IF(W12&lt;=X12,"CUMPLE","NO CUMPLE"))</f>
        <v/>
      </c>
      <c r="Z12" s="17" t="n"/>
      <c r="AA12" s="23" t="n">
        <v>0.03</v>
      </c>
      <c r="AB12" s="19">
        <f>IF(Z12="","",IF(Z12&lt;=AA12,"CUMPLE","NO CUMPLE"))</f>
        <v/>
      </c>
      <c r="AC12" s="17" t="n"/>
      <c r="AD12" s="23" t="n">
        <v>0.02</v>
      </c>
      <c r="AE12" s="19">
        <f>IF(AC12="","",IF(AC12&lt;=AD12,"CUMPLE","NO CUMPLE"))</f>
        <v/>
      </c>
      <c r="AF12" s="17" t="n"/>
      <c r="AG12" s="23" t="n">
        <v>0.05</v>
      </c>
      <c r="AH12" s="19">
        <f>IF(AF12="","",IF(AF12&lt;=AG12,"CUMPLE","NO CUMPLE"))</f>
        <v/>
      </c>
      <c r="AI12" s="22" t="n"/>
      <c r="AJ12" s="22" t="n"/>
    </row>
    <row r="13">
      <c r="A13" s="13" t="inlineStr">
        <is>
          <t>1012333413</t>
        </is>
      </c>
      <c r="B13" s="14" t="inlineStr">
        <is>
          <t>GORDILLO TORRES DAYAN KATHERINNE</t>
        </is>
      </c>
      <c r="C13" s="15" t="inlineStr">
        <is>
          <t>MONITOREO TRANSACCIONAL</t>
        </is>
      </c>
      <c r="D13" s="16" t="inlineStr">
        <is>
          <t>DOTOR SANTIAGO ALEX ALEJANDRO</t>
        </is>
      </c>
      <c r="E13" s="17" t="n"/>
      <c r="F13" s="18" t="n">
        <v>0.95</v>
      </c>
      <c r="G13" s="19">
        <f>IF(E13="","",IF(E13&gt;=F13,"CUMPLE","NO CUMPLE"))</f>
        <v/>
      </c>
      <c r="H13" s="17" t="n"/>
      <c r="I13" s="18" t="n">
        <v>0.9</v>
      </c>
      <c r="J13" s="19">
        <f>IF(H13="","",IF(H13&gt;=I13,"CUMPLE","NO CUMPLE"))</f>
        <v/>
      </c>
      <c r="K13" s="17" t="n"/>
      <c r="L13" s="18" t="n">
        <v>0.8</v>
      </c>
      <c r="M13" s="19">
        <f>IF(K13="","",IF(K13&gt;=L13,"CUMPLE","NO CUMPLE"))</f>
        <v/>
      </c>
      <c r="N13" s="17" t="n"/>
      <c r="O13" s="18" t="n">
        <v>0.98</v>
      </c>
      <c r="P13" s="19">
        <f>IF(N13="","",IF(N13&gt;=O13,"CUMPLE","NO CUMPLE"))</f>
        <v/>
      </c>
      <c r="Q13" s="17" t="n"/>
      <c r="R13" s="18" t="n">
        <v>0.9</v>
      </c>
      <c r="S13" s="19">
        <f>IF(Q13="","",IF(Q13&gt;=R13,"CUMPLE","NO CUMPLE"))</f>
        <v/>
      </c>
      <c r="T13" s="20" t="n"/>
      <c r="U13" s="21" t="n">
        <v>410</v>
      </c>
      <c r="V13" s="19">
        <f>IF(T13="","",IF(T13&lt;=U13,"CUMPLE","NO CUMPLE"))</f>
        <v/>
      </c>
      <c r="W13" s="17" t="n"/>
      <c r="X13" s="18" t="n">
        <v>0.05</v>
      </c>
      <c r="Y13" s="19">
        <f>IF(W13="","",IF(W13&lt;=X13,"CUMPLE","NO CUMPLE"))</f>
        <v/>
      </c>
      <c r="Z13" s="17" t="n"/>
      <c r="AA13" s="18" t="n">
        <v>0.03</v>
      </c>
      <c r="AB13" s="19">
        <f>IF(Z13="","",IF(Z13&lt;=AA13,"CUMPLE","NO CUMPLE"))</f>
        <v/>
      </c>
      <c r="AC13" s="17" t="n"/>
      <c r="AD13" s="18" t="n">
        <v>0.02</v>
      </c>
      <c r="AE13" s="19">
        <f>IF(AC13="","",IF(AC13&lt;=AD13,"CUMPLE","NO CUMPLE"))</f>
        <v/>
      </c>
      <c r="AF13" s="17" t="n"/>
      <c r="AG13" s="18" t="n">
        <v>0.05</v>
      </c>
      <c r="AH13" s="19">
        <f>IF(AF13="","",IF(AF13&lt;=AG13,"CUMPLE","NO CUMPLE"))</f>
        <v/>
      </c>
      <c r="AI13" s="22" t="n"/>
      <c r="AJ13" s="22" t="n"/>
    </row>
    <row r="14">
      <c r="A14" s="13" t="inlineStr">
        <is>
          <t>1013659634</t>
        </is>
      </c>
      <c r="B14" s="14" t="inlineStr">
        <is>
          <t>LABRADOR ROBLES JIMMY ALEJANDRO</t>
        </is>
      </c>
      <c r="C14" s="15" t="inlineStr">
        <is>
          <t>MONITOREO TRANSACCIONAL</t>
        </is>
      </c>
      <c r="D14" s="16" t="inlineStr">
        <is>
          <t>DOTOR SANTIAGO ALEX ALEJANDRO</t>
        </is>
      </c>
      <c r="E14" s="17" t="n"/>
      <c r="F14" s="23" t="n">
        <v>0.95</v>
      </c>
      <c r="G14" s="19">
        <f>IF(E14="","",IF(E14&gt;=F14,"CUMPLE","NO CUMPLE"))</f>
        <v/>
      </c>
      <c r="H14" s="17" t="n"/>
      <c r="I14" s="23" t="n">
        <v>0.9</v>
      </c>
      <c r="J14" s="19">
        <f>IF(H14="","",IF(H14&gt;=I14,"CUMPLE","NO CUMPLE"))</f>
        <v/>
      </c>
      <c r="K14" s="17" t="n"/>
      <c r="L14" s="23" t="n">
        <v>0.8</v>
      </c>
      <c r="M14" s="19">
        <f>IF(K14="","",IF(K14&gt;=L14,"CUMPLE","NO CUMPLE"))</f>
        <v/>
      </c>
      <c r="N14" s="17" t="n"/>
      <c r="O14" s="23" t="n">
        <v>0.98</v>
      </c>
      <c r="P14" s="19">
        <f>IF(N14="","",IF(N14&gt;=O14,"CUMPLE","NO CUMPLE"))</f>
        <v/>
      </c>
      <c r="Q14" s="17" t="n"/>
      <c r="R14" s="23" t="n">
        <v>0.9</v>
      </c>
      <c r="S14" s="19">
        <f>IF(Q14="","",IF(Q14&gt;=R14,"CUMPLE","NO CUMPLE"))</f>
        <v/>
      </c>
      <c r="T14" s="20" t="n"/>
      <c r="U14" s="24" t="n">
        <v>410</v>
      </c>
      <c r="V14" s="19">
        <f>IF(T14="","",IF(T14&lt;=U14,"CUMPLE","NO CUMPLE"))</f>
        <v/>
      </c>
      <c r="W14" s="17" t="n"/>
      <c r="X14" s="23" t="n">
        <v>0.05</v>
      </c>
      <c r="Y14" s="19">
        <f>IF(W14="","",IF(W14&lt;=X14,"CUMPLE","NO CUMPLE"))</f>
        <v/>
      </c>
      <c r="Z14" s="17" t="n"/>
      <c r="AA14" s="23" t="n">
        <v>0.03</v>
      </c>
      <c r="AB14" s="19">
        <f>IF(Z14="","",IF(Z14&lt;=AA14,"CUMPLE","NO CUMPLE"))</f>
        <v/>
      </c>
      <c r="AC14" s="17" t="n"/>
      <c r="AD14" s="23" t="n">
        <v>0.02</v>
      </c>
      <c r="AE14" s="19">
        <f>IF(AC14="","",IF(AC14&lt;=AD14,"CUMPLE","NO CUMPLE"))</f>
        <v/>
      </c>
      <c r="AF14" s="17" t="n"/>
      <c r="AG14" s="23" t="n">
        <v>0.05</v>
      </c>
      <c r="AH14" s="19">
        <f>IF(AF14="","",IF(AF14&lt;=AG14,"CUMPLE","NO CUMPLE"))</f>
        <v/>
      </c>
      <c r="AI14" s="22" t="n"/>
      <c r="AJ14" s="22" t="n"/>
    </row>
    <row r="15">
      <c r="A15" s="13" t="inlineStr">
        <is>
          <t>1015429676</t>
        </is>
      </c>
      <c r="B15" s="14" t="inlineStr">
        <is>
          <t>MESA QUIROGA MAYERLI YOANA</t>
        </is>
      </c>
      <c r="C15" s="15" t="inlineStr">
        <is>
          <t>MONITOREO TRANSACCIONAL</t>
        </is>
      </c>
      <c r="D15" s="16" t="inlineStr">
        <is>
          <t>DOTOR SANTIAGO ALEX ALEJANDRO</t>
        </is>
      </c>
      <c r="E15" s="17" t="n"/>
      <c r="F15" s="18" t="n">
        <v>0.95</v>
      </c>
      <c r="G15" s="19">
        <f>IF(E15="","",IF(E15&gt;=F15,"CUMPLE","NO CUMPLE"))</f>
        <v/>
      </c>
      <c r="H15" s="17" t="n"/>
      <c r="I15" s="18" t="n">
        <v>0.9</v>
      </c>
      <c r="J15" s="19">
        <f>IF(H15="","",IF(H15&gt;=I15,"CUMPLE","NO CUMPLE"))</f>
        <v/>
      </c>
      <c r="K15" s="17" t="n"/>
      <c r="L15" s="18" t="n">
        <v>0.8</v>
      </c>
      <c r="M15" s="19">
        <f>IF(K15="","",IF(K15&gt;=L15,"CUMPLE","NO CUMPLE"))</f>
        <v/>
      </c>
      <c r="N15" s="17" t="n"/>
      <c r="O15" s="18" t="n">
        <v>0.98</v>
      </c>
      <c r="P15" s="19">
        <f>IF(N15="","",IF(N15&gt;=O15,"CUMPLE","NO CUMPLE"))</f>
        <v/>
      </c>
      <c r="Q15" s="17" t="n"/>
      <c r="R15" s="18" t="n">
        <v>0.9</v>
      </c>
      <c r="S15" s="19">
        <f>IF(Q15="","",IF(Q15&gt;=R15,"CUMPLE","NO CUMPLE"))</f>
        <v/>
      </c>
      <c r="T15" s="20" t="n"/>
      <c r="U15" s="21" t="n">
        <v>410</v>
      </c>
      <c r="V15" s="19">
        <f>IF(T15="","",IF(T15&lt;=U15,"CUMPLE","NO CUMPLE"))</f>
        <v/>
      </c>
      <c r="W15" s="17" t="n"/>
      <c r="X15" s="18" t="n">
        <v>0.05</v>
      </c>
      <c r="Y15" s="19">
        <f>IF(W15="","",IF(W15&lt;=X15,"CUMPLE","NO CUMPLE"))</f>
        <v/>
      </c>
      <c r="Z15" s="17" t="n"/>
      <c r="AA15" s="18" t="n">
        <v>0.03</v>
      </c>
      <c r="AB15" s="19">
        <f>IF(Z15="","",IF(Z15&lt;=AA15,"CUMPLE","NO CUMPLE"))</f>
        <v/>
      </c>
      <c r="AC15" s="17" t="n"/>
      <c r="AD15" s="18" t="n">
        <v>0.02</v>
      </c>
      <c r="AE15" s="19">
        <f>IF(AC15="","",IF(AC15&lt;=AD15,"CUMPLE","NO CUMPLE"))</f>
        <v/>
      </c>
      <c r="AF15" s="17" t="n"/>
      <c r="AG15" s="18" t="n">
        <v>0.05</v>
      </c>
      <c r="AH15" s="19">
        <f>IF(AF15="","",IF(AF15&lt;=AG15,"CUMPLE","NO CUMPLE"))</f>
        <v/>
      </c>
      <c r="AI15" s="22" t="n"/>
      <c r="AJ15" s="22" t="n"/>
    </row>
    <row r="16">
      <c r="A16" s="13" t="inlineStr">
        <is>
          <t>1003660950</t>
        </is>
      </c>
      <c r="B16" s="14" t="inlineStr">
        <is>
          <t>NEIRA HUERTAS ALEJANDRO</t>
        </is>
      </c>
      <c r="C16" s="15" t="inlineStr">
        <is>
          <t>MONITOREO TRANSACCIONAL</t>
        </is>
      </c>
      <c r="D16" s="16" t="inlineStr">
        <is>
          <t>DOTOR SANTIAGO ALEX ALEJANDRO</t>
        </is>
      </c>
      <c r="E16" s="17" t="n"/>
      <c r="F16" s="23" t="n">
        <v>0.95</v>
      </c>
      <c r="G16" s="19">
        <f>IF(E16="","",IF(E16&gt;=F16,"CUMPLE","NO CUMPLE"))</f>
        <v/>
      </c>
      <c r="H16" s="17" t="n"/>
      <c r="I16" s="23" t="n">
        <v>0.9</v>
      </c>
      <c r="J16" s="19">
        <f>IF(H16="","",IF(H16&gt;=I16,"CUMPLE","NO CUMPLE"))</f>
        <v/>
      </c>
      <c r="K16" s="17" t="n"/>
      <c r="L16" s="23" t="n">
        <v>0.8</v>
      </c>
      <c r="M16" s="19">
        <f>IF(K16="","",IF(K16&gt;=L16,"CUMPLE","NO CUMPLE"))</f>
        <v/>
      </c>
      <c r="N16" s="17" t="n"/>
      <c r="O16" s="23" t="n">
        <v>0.98</v>
      </c>
      <c r="P16" s="19">
        <f>IF(N16="","",IF(N16&gt;=O16,"CUMPLE","NO CUMPLE"))</f>
        <v/>
      </c>
      <c r="Q16" s="17" t="n"/>
      <c r="R16" s="23" t="n">
        <v>0.9</v>
      </c>
      <c r="S16" s="19">
        <f>IF(Q16="","",IF(Q16&gt;=R16,"CUMPLE","NO CUMPLE"))</f>
        <v/>
      </c>
      <c r="T16" s="20" t="n"/>
      <c r="U16" s="24" t="n">
        <v>410</v>
      </c>
      <c r="V16" s="19">
        <f>IF(T16="","",IF(T16&lt;=U16,"CUMPLE","NO CUMPLE"))</f>
        <v/>
      </c>
      <c r="W16" s="17" t="n"/>
      <c r="X16" s="23" t="n">
        <v>0.05</v>
      </c>
      <c r="Y16" s="19">
        <f>IF(W16="","",IF(W16&lt;=X16,"CUMPLE","NO CUMPLE"))</f>
        <v/>
      </c>
      <c r="Z16" s="17" t="n"/>
      <c r="AA16" s="23" t="n">
        <v>0.03</v>
      </c>
      <c r="AB16" s="19">
        <f>IF(Z16="","",IF(Z16&lt;=AA16,"CUMPLE","NO CUMPLE"))</f>
        <v/>
      </c>
      <c r="AC16" s="17" t="n"/>
      <c r="AD16" s="23" t="n">
        <v>0.02</v>
      </c>
      <c r="AE16" s="19">
        <f>IF(AC16="","",IF(AC16&lt;=AD16,"CUMPLE","NO CUMPLE"))</f>
        <v/>
      </c>
      <c r="AF16" s="17" t="n"/>
      <c r="AG16" s="23" t="n">
        <v>0.05</v>
      </c>
      <c r="AH16" s="19">
        <f>IF(AF16="","",IF(AF16&lt;=AG16,"CUMPLE","NO CUMPLE"))</f>
        <v/>
      </c>
      <c r="AI16" s="22" t="n"/>
      <c r="AJ16" s="22" t="n"/>
    </row>
    <row r="17">
      <c r="A17" s="13" t="inlineStr">
        <is>
          <t>1003235912</t>
        </is>
      </c>
      <c r="B17" s="14" t="inlineStr">
        <is>
          <t>OROZCO ACUÑA RICHARD JOSE</t>
        </is>
      </c>
      <c r="C17" s="15" t="inlineStr">
        <is>
          <t>MONITOREO TRANSACCIONAL</t>
        </is>
      </c>
      <c r="D17" s="16" t="inlineStr">
        <is>
          <t>DOTOR SANTIAGO ALEX ALEJANDRO</t>
        </is>
      </c>
      <c r="E17" s="17" t="n"/>
      <c r="F17" s="18" t="n">
        <v>0.95</v>
      </c>
      <c r="G17" s="19">
        <f>IF(E17="","",IF(E17&gt;=F17,"CUMPLE","NO CUMPLE"))</f>
        <v/>
      </c>
      <c r="H17" s="17" t="n"/>
      <c r="I17" s="18" t="n">
        <v>0.9</v>
      </c>
      <c r="J17" s="19">
        <f>IF(H17="","",IF(H17&gt;=I17,"CUMPLE","NO CUMPLE"))</f>
        <v/>
      </c>
      <c r="K17" s="17" t="n"/>
      <c r="L17" s="18" t="n">
        <v>0.8</v>
      </c>
      <c r="M17" s="19">
        <f>IF(K17="","",IF(K17&gt;=L17,"CUMPLE","NO CUMPLE"))</f>
        <v/>
      </c>
      <c r="N17" s="17" t="n"/>
      <c r="O17" s="18" t="n">
        <v>0.98</v>
      </c>
      <c r="P17" s="19">
        <f>IF(N17="","",IF(N17&gt;=O17,"CUMPLE","NO CUMPLE"))</f>
        <v/>
      </c>
      <c r="Q17" s="17" t="n"/>
      <c r="R17" s="18" t="n">
        <v>0.9</v>
      </c>
      <c r="S17" s="19">
        <f>IF(Q17="","",IF(Q17&gt;=R17,"CUMPLE","NO CUMPLE"))</f>
        <v/>
      </c>
      <c r="T17" s="20" t="n"/>
      <c r="U17" s="21" t="n">
        <v>410</v>
      </c>
      <c r="V17" s="19">
        <f>IF(T17="","",IF(T17&lt;=U17,"CUMPLE","NO CUMPLE"))</f>
        <v/>
      </c>
      <c r="W17" s="17" t="n"/>
      <c r="X17" s="18" t="n">
        <v>0.05</v>
      </c>
      <c r="Y17" s="19">
        <f>IF(W17="","",IF(W17&lt;=X17,"CUMPLE","NO CUMPLE"))</f>
        <v/>
      </c>
      <c r="Z17" s="17" t="n"/>
      <c r="AA17" s="18" t="n">
        <v>0.03</v>
      </c>
      <c r="AB17" s="19">
        <f>IF(Z17="","",IF(Z17&lt;=AA17,"CUMPLE","NO CUMPLE"))</f>
        <v/>
      </c>
      <c r="AC17" s="17" t="n"/>
      <c r="AD17" s="18" t="n">
        <v>0.02</v>
      </c>
      <c r="AE17" s="19">
        <f>IF(AC17="","",IF(AC17&lt;=AD17,"CUMPLE","NO CUMPLE"))</f>
        <v/>
      </c>
      <c r="AF17" s="17" t="n"/>
      <c r="AG17" s="18" t="n">
        <v>0.05</v>
      </c>
      <c r="AH17" s="19">
        <f>IF(AF17="","",IF(AF17&lt;=AG17,"CUMPLE","NO CUMPLE"))</f>
        <v/>
      </c>
      <c r="AI17" s="22" t="n"/>
      <c r="AJ17" s="22" t="n"/>
    </row>
    <row r="18">
      <c r="A18" s="13" t="inlineStr">
        <is>
          <t>1002378830</t>
        </is>
      </c>
      <c r="B18" s="14" t="inlineStr">
        <is>
          <t>RUIZ BETANCUR MARIA TERESA</t>
        </is>
      </c>
      <c r="C18" s="15" t="inlineStr">
        <is>
          <t>MONITOREO TRANSACCIONAL</t>
        </is>
      </c>
      <c r="D18" s="16" t="inlineStr">
        <is>
          <t>DOTOR SANTIAGO ALEX ALEJANDRO</t>
        </is>
      </c>
      <c r="E18" s="17" t="n"/>
      <c r="F18" s="23" t="n">
        <v>0.95</v>
      </c>
      <c r="G18" s="19">
        <f>IF(E18="","",IF(E18&gt;=F18,"CUMPLE","NO CUMPLE"))</f>
        <v/>
      </c>
      <c r="H18" s="17" t="n"/>
      <c r="I18" s="23" t="n">
        <v>0.9</v>
      </c>
      <c r="J18" s="19">
        <f>IF(H18="","",IF(H18&gt;=I18,"CUMPLE","NO CUMPLE"))</f>
        <v/>
      </c>
      <c r="K18" s="17" t="n"/>
      <c r="L18" s="23" t="n">
        <v>0.8</v>
      </c>
      <c r="M18" s="19">
        <f>IF(K18="","",IF(K18&gt;=L18,"CUMPLE","NO CUMPLE"))</f>
        <v/>
      </c>
      <c r="N18" s="17" t="n"/>
      <c r="O18" s="23" t="n">
        <v>0.98</v>
      </c>
      <c r="P18" s="19">
        <f>IF(N18="","",IF(N18&gt;=O18,"CUMPLE","NO CUMPLE"))</f>
        <v/>
      </c>
      <c r="Q18" s="17" t="n"/>
      <c r="R18" s="23" t="n">
        <v>0.9</v>
      </c>
      <c r="S18" s="19">
        <f>IF(Q18="","",IF(Q18&gt;=R18,"CUMPLE","NO CUMPLE"))</f>
        <v/>
      </c>
      <c r="T18" s="20" t="n"/>
      <c r="U18" s="24" t="n">
        <v>410</v>
      </c>
      <c r="V18" s="19">
        <f>IF(T18="","",IF(T18&lt;=U18,"CUMPLE","NO CUMPLE"))</f>
        <v/>
      </c>
      <c r="W18" s="17" t="n"/>
      <c r="X18" s="23" t="n">
        <v>0.05</v>
      </c>
      <c r="Y18" s="19">
        <f>IF(W18="","",IF(W18&lt;=X18,"CUMPLE","NO CUMPLE"))</f>
        <v/>
      </c>
      <c r="Z18" s="17" t="n"/>
      <c r="AA18" s="23" t="n">
        <v>0.03</v>
      </c>
      <c r="AB18" s="19">
        <f>IF(Z18="","",IF(Z18&lt;=AA18,"CUMPLE","NO CUMPLE"))</f>
        <v/>
      </c>
      <c r="AC18" s="17" t="n"/>
      <c r="AD18" s="23" t="n">
        <v>0.02</v>
      </c>
      <c r="AE18" s="19">
        <f>IF(AC18="","",IF(AC18&lt;=AD18,"CUMPLE","NO CUMPLE"))</f>
        <v/>
      </c>
      <c r="AF18" s="17" t="n"/>
      <c r="AG18" s="23" t="n">
        <v>0.05</v>
      </c>
      <c r="AH18" s="19">
        <f>IF(AF18="","",IF(AF18&lt;=AG18,"CUMPLE","NO CUMPLE"))</f>
        <v/>
      </c>
      <c r="AI18" s="22" t="n"/>
      <c r="AJ18" s="22" t="n"/>
    </row>
    <row r="19">
      <c r="A19" s="13" t="inlineStr">
        <is>
          <t>1109848001</t>
        </is>
      </c>
      <c r="B19" s="14" t="inlineStr">
        <is>
          <t>SAENZ GARCIA JESSICA KATERINE</t>
        </is>
      </c>
      <c r="C19" s="15" t="inlineStr">
        <is>
          <t>MONITOREO TRANSACCIONAL</t>
        </is>
      </c>
      <c r="D19" s="16" t="inlineStr">
        <is>
          <t>DOTOR SANTIAGO ALEX ALEJANDRO</t>
        </is>
      </c>
      <c r="E19" s="17" t="n"/>
      <c r="F19" s="18" t="n">
        <v>0.95</v>
      </c>
      <c r="G19" s="19">
        <f>IF(E19="","",IF(E19&gt;=F19,"CUMPLE","NO CUMPLE"))</f>
        <v/>
      </c>
      <c r="H19" s="17" t="n"/>
      <c r="I19" s="18" t="n">
        <v>0.9</v>
      </c>
      <c r="J19" s="19">
        <f>IF(H19="","",IF(H19&gt;=I19,"CUMPLE","NO CUMPLE"))</f>
        <v/>
      </c>
      <c r="K19" s="17" t="n"/>
      <c r="L19" s="18" t="n">
        <v>0.8</v>
      </c>
      <c r="M19" s="19">
        <f>IF(K19="","",IF(K19&gt;=L19,"CUMPLE","NO CUMPLE"))</f>
        <v/>
      </c>
      <c r="N19" s="17" t="n"/>
      <c r="O19" s="18" t="n">
        <v>0.98</v>
      </c>
      <c r="P19" s="19">
        <f>IF(N19="","",IF(N19&gt;=O19,"CUMPLE","NO CUMPLE"))</f>
        <v/>
      </c>
      <c r="Q19" s="17" t="n"/>
      <c r="R19" s="18" t="n">
        <v>0.9</v>
      </c>
      <c r="S19" s="19">
        <f>IF(Q19="","",IF(Q19&gt;=R19,"CUMPLE","NO CUMPLE"))</f>
        <v/>
      </c>
      <c r="T19" s="20" t="n"/>
      <c r="U19" s="21" t="n">
        <v>410</v>
      </c>
      <c r="V19" s="19">
        <f>IF(T19="","",IF(T19&lt;=U19,"CUMPLE","NO CUMPLE"))</f>
        <v/>
      </c>
      <c r="W19" s="17" t="n"/>
      <c r="X19" s="18" t="n">
        <v>0.05</v>
      </c>
      <c r="Y19" s="19">
        <f>IF(W19="","",IF(W19&lt;=X19,"CUMPLE","NO CUMPLE"))</f>
        <v/>
      </c>
      <c r="Z19" s="17" t="n"/>
      <c r="AA19" s="18" t="n">
        <v>0.03</v>
      </c>
      <c r="AB19" s="19">
        <f>IF(Z19="","",IF(Z19&lt;=AA19,"CUMPLE","NO CUMPLE"))</f>
        <v/>
      </c>
      <c r="AC19" s="17" t="n"/>
      <c r="AD19" s="18" t="n">
        <v>0.02</v>
      </c>
      <c r="AE19" s="19">
        <f>IF(AC19="","",IF(AC19&lt;=AD19,"CUMPLE","NO CUMPLE"))</f>
        <v/>
      </c>
      <c r="AF19" s="17" t="n"/>
      <c r="AG19" s="18" t="n">
        <v>0.05</v>
      </c>
      <c r="AH19" s="19">
        <f>IF(AF19="","",IF(AF19&lt;=AG19,"CUMPLE","NO CUMPLE"))</f>
        <v/>
      </c>
      <c r="AI19" s="22" t="n"/>
      <c r="AJ19" s="22" t="n"/>
    </row>
    <row r="20">
      <c r="A20" s="13" t="inlineStr">
        <is>
          <t>1022365378</t>
        </is>
      </c>
      <c r="B20" s="14" t="inlineStr">
        <is>
          <t>SALAZAR HERRERA SANDRA SUSANA</t>
        </is>
      </c>
      <c r="C20" s="15" t="inlineStr">
        <is>
          <t>MONITOREO TRANSACCIONAL</t>
        </is>
      </c>
      <c r="D20" s="16" t="inlineStr">
        <is>
          <t>DOTOR SANTIAGO ALEX ALEJANDRO</t>
        </is>
      </c>
      <c r="E20" s="17" t="n"/>
      <c r="F20" s="23" t="n">
        <v>0.95</v>
      </c>
      <c r="G20" s="19">
        <f>IF(E20="","",IF(E20&gt;=F20,"CUMPLE","NO CUMPLE"))</f>
        <v/>
      </c>
      <c r="H20" s="17" t="n"/>
      <c r="I20" s="23" t="n">
        <v>0.9</v>
      </c>
      <c r="J20" s="19">
        <f>IF(H20="","",IF(H20&gt;=I20,"CUMPLE","NO CUMPLE"))</f>
        <v/>
      </c>
      <c r="K20" s="17" t="n"/>
      <c r="L20" s="23" t="n">
        <v>0.8</v>
      </c>
      <c r="M20" s="19">
        <f>IF(K20="","",IF(K20&gt;=L20,"CUMPLE","NO CUMPLE"))</f>
        <v/>
      </c>
      <c r="N20" s="17" t="n"/>
      <c r="O20" s="23" t="n">
        <v>0.98</v>
      </c>
      <c r="P20" s="19">
        <f>IF(N20="","",IF(N20&gt;=O20,"CUMPLE","NO CUMPLE"))</f>
        <v/>
      </c>
      <c r="Q20" s="17" t="n"/>
      <c r="R20" s="23" t="n">
        <v>0.9</v>
      </c>
      <c r="S20" s="19">
        <f>IF(Q20="","",IF(Q20&gt;=R20,"CUMPLE","NO CUMPLE"))</f>
        <v/>
      </c>
      <c r="T20" s="20" t="n"/>
      <c r="U20" s="24" t="n">
        <v>410</v>
      </c>
      <c r="V20" s="19">
        <f>IF(T20="","",IF(T20&lt;=U20,"CUMPLE","NO CUMPLE"))</f>
        <v/>
      </c>
      <c r="W20" s="17" t="n"/>
      <c r="X20" s="23" t="n">
        <v>0.05</v>
      </c>
      <c r="Y20" s="19">
        <f>IF(W20="","",IF(W20&lt;=X20,"CUMPLE","NO CUMPLE"))</f>
        <v/>
      </c>
      <c r="Z20" s="17" t="n"/>
      <c r="AA20" s="23" t="n">
        <v>0.03</v>
      </c>
      <c r="AB20" s="19">
        <f>IF(Z20="","",IF(Z20&lt;=AA20,"CUMPLE","NO CUMPLE"))</f>
        <v/>
      </c>
      <c r="AC20" s="17" t="n"/>
      <c r="AD20" s="23" t="n">
        <v>0.02</v>
      </c>
      <c r="AE20" s="19">
        <f>IF(AC20="","",IF(AC20&lt;=AD20,"CUMPLE","NO CUMPLE"))</f>
        <v/>
      </c>
      <c r="AF20" s="17" t="n"/>
      <c r="AG20" s="23" t="n">
        <v>0.05</v>
      </c>
      <c r="AH20" s="19">
        <f>IF(AF20="","",IF(AF20&lt;=AG20,"CUMPLE","NO CUMPLE"))</f>
        <v/>
      </c>
      <c r="AI20" s="22" t="n"/>
      <c r="AJ20" s="22" t="n"/>
    </row>
    <row r="21">
      <c r="A21" s="13" t="inlineStr">
        <is>
          <t>1095799850</t>
        </is>
      </c>
      <c r="B21" s="14" t="inlineStr">
        <is>
          <t>SOTO FREITE ESTEFANY PAOLA</t>
        </is>
      </c>
      <c r="C21" s="15" t="inlineStr">
        <is>
          <t>MONITOREO TRANSACCIONAL</t>
        </is>
      </c>
      <c r="D21" s="16" t="inlineStr">
        <is>
          <t>DOTOR SANTIAGO ALEX ALEJANDRO</t>
        </is>
      </c>
      <c r="E21" s="17" t="n"/>
      <c r="F21" s="18" t="n">
        <v>0.95</v>
      </c>
      <c r="G21" s="19">
        <f>IF(E21="","",IF(E21&gt;=F21,"CUMPLE","NO CUMPLE"))</f>
        <v/>
      </c>
      <c r="H21" s="17" t="n"/>
      <c r="I21" s="18" t="n">
        <v>0.9</v>
      </c>
      <c r="J21" s="19">
        <f>IF(H21="","",IF(H21&gt;=I21,"CUMPLE","NO CUMPLE"))</f>
        <v/>
      </c>
      <c r="K21" s="17" t="n"/>
      <c r="L21" s="18" t="n">
        <v>0.8</v>
      </c>
      <c r="M21" s="19">
        <f>IF(K21="","",IF(K21&gt;=L21,"CUMPLE","NO CUMPLE"))</f>
        <v/>
      </c>
      <c r="N21" s="17" t="n"/>
      <c r="O21" s="18" t="n">
        <v>0.98</v>
      </c>
      <c r="P21" s="19">
        <f>IF(N21="","",IF(N21&gt;=O21,"CUMPLE","NO CUMPLE"))</f>
        <v/>
      </c>
      <c r="Q21" s="17" t="n"/>
      <c r="R21" s="18" t="n">
        <v>0.9</v>
      </c>
      <c r="S21" s="19">
        <f>IF(Q21="","",IF(Q21&gt;=R21,"CUMPLE","NO CUMPLE"))</f>
        <v/>
      </c>
      <c r="T21" s="20" t="n"/>
      <c r="U21" s="21" t="n">
        <v>410</v>
      </c>
      <c r="V21" s="19">
        <f>IF(T21="","",IF(T21&lt;=U21,"CUMPLE","NO CUMPLE"))</f>
        <v/>
      </c>
      <c r="W21" s="17" t="n"/>
      <c r="X21" s="18" t="n">
        <v>0.05</v>
      </c>
      <c r="Y21" s="19">
        <f>IF(W21="","",IF(W21&lt;=X21,"CUMPLE","NO CUMPLE"))</f>
        <v/>
      </c>
      <c r="Z21" s="17" t="n"/>
      <c r="AA21" s="18" t="n">
        <v>0.03</v>
      </c>
      <c r="AB21" s="19">
        <f>IF(Z21="","",IF(Z21&lt;=AA21,"CUMPLE","NO CUMPLE"))</f>
        <v/>
      </c>
      <c r="AC21" s="17" t="n"/>
      <c r="AD21" s="18" t="n">
        <v>0.02</v>
      </c>
      <c r="AE21" s="19">
        <f>IF(AC21="","",IF(AC21&lt;=AD21,"CUMPLE","NO CUMPLE"))</f>
        <v/>
      </c>
      <c r="AF21" s="17" t="n"/>
      <c r="AG21" s="18" t="n">
        <v>0.05</v>
      </c>
      <c r="AH21" s="19">
        <f>IF(AF21="","",IF(AF21&lt;=AG21,"CUMPLE","NO CUMPLE"))</f>
        <v/>
      </c>
      <c r="AI21" s="22" t="n"/>
      <c r="AJ21" s="22" t="n"/>
    </row>
    <row r="22">
      <c r="A22" s="13" t="inlineStr">
        <is>
          <t>1013658280</t>
        </is>
      </c>
      <c r="B22" s="14" t="inlineStr">
        <is>
          <t>VALENCIA DUQUE DIANA MARCELA</t>
        </is>
      </c>
      <c r="C22" s="15" t="inlineStr">
        <is>
          <t>MONITOREO TRANSACCIONAL</t>
        </is>
      </c>
      <c r="D22" s="16" t="inlineStr">
        <is>
          <t>DOTOR SANTIAGO ALEX ALEJANDRO</t>
        </is>
      </c>
      <c r="E22" s="17" t="n"/>
      <c r="F22" s="23" t="n">
        <v>0.95</v>
      </c>
      <c r="G22" s="19">
        <f>IF(E22="","",IF(E22&gt;=F22,"CUMPLE","NO CUMPLE"))</f>
        <v/>
      </c>
      <c r="H22" s="17" t="n"/>
      <c r="I22" s="23" t="n">
        <v>0.9</v>
      </c>
      <c r="J22" s="19">
        <f>IF(H22="","",IF(H22&gt;=I22,"CUMPLE","NO CUMPLE"))</f>
        <v/>
      </c>
      <c r="K22" s="17" t="n"/>
      <c r="L22" s="23" t="n">
        <v>0.8</v>
      </c>
      <c r="M22" s="19">
        <f>IF(K22="","",IF(K22&gt;=L22,"CUMPLE","NO CUMPLE"))</f>
        <v/>
      </c>
      <c r="N22" s="17" t="n"/>
      <c r="O22" s="23" t="n">
        <v>0.98</v>
      </c>
      <c r="P22" s="19">
        <f>IF(N22="","",IF(N22&gt;=O22,"CUMPLE","NO CUMPLE"))</f>
        <v/>
      </c>
      <c r="Q22" s="17" t="n"/>
      <c r="R22" s="23" t="n">
        <v>0.9</v>
      </c>
      <c r="S22" s="19">
        <f>IF(Q22="","",IF(Q22&gt;=R22,"CUMPLE","NO CUMPLE"))</f>
        <v/>
      </c>
      <c r="T22" s="20" t="n"/>
      <c r="U22" s="24" t="n">
        <v>410</v>
      </c>
      <c r="V22" s="19">
        <f>IF(T22="","",IF(T22&lt;=U22,"CUMPLE","NO CUMPLE"))</f>
        <v/>
      </c>
      <c r="W22" s="17" t="n"/>
      <c r="X22" s="23" t="n">
        <v>0.05</v>
      </c>
      <c r="Y22" s="19">
        <f>IF(W22="","",IF(W22&lt;=X22,"CUMPLE","NO CUMPLE"))</f>
        <v/>
      </c>
      <c r="Z22" s="17" t="n"/>
      <c r="AA22" s="23" t="n">
        <v>0.03</v>
      </c>
      <c r="AB22" s="19">
        <f>IF(Z22="","",IF(Z22&lt;=AA22,"CUMPLE","NO CUMPLE"))</f>
        <v/>
      </c>
      <c r="AC22" s="17" t="n"/>
      <c r="AD22" s="23" t="n">
        <v>0.02</v>
      </c>
      <c r="AE22" s="19">
        <f>IF(AC22="","",IF(AC22&lt;=AD22,"CUMPLE","NO CUMPLE"))</f>
        <v/>
      </c>
      <c r="AF22" s="17" t="n"/>
      <c r="AG22" s="23" t="n">
        <v>0.05</v>
      </c>
      <c r="AH22" s="19">
        <f>IF(AF22="","",IF(AF22&lt;=AG22,"CUMPLE","NO CUMPLE"))</f>
        <v/>
      </c>
      <c r="AI22" s="22" t="n"/>
      <c r="AJ22" s="22" t="n"/>
    </row>
    <row r="23">
      <c r="A23" s="13" t="inlineStr">
        <is>
          <t>1000125624</t>
        </is>
      </c>
      <c r="B23" s="14" t="inlineStr">
        <is>
          <t>VARGAS ARISMENDY DAVID ESTEBAN</t>
        </is>
      </c>
      <c r="C23" s="15" t="inlineStr">
        <is>
          <t>MONITOREO TRANSACCIONAL</t>
        </is>
      </c>
      <c r="D23" s="16" t="inlineStr">
        <is>
          <t>DOTOR SANTIAGO ALEX ALEJANDRO</t>
        </is>
      </c>
      <c r="E23" s="17" t="n"/>
      <c r="F23" s="18" t="n">
        <v>0.95</v>
      </c>
      <c r="G23" s="19">
        <f>IF(E23="","",IF(E23&gt;=F23,"CUMPLE","NO CUMPLE"))</f>
        <v/>
      </c>
      <c r="H23" s="17" t="n"/>
      <c r="I23" s="18" t="n">
        <v>0.9</v>
      </c>
      <c r="J23" s="19">
        <f>IF(H23="","",IF(H23&gt;=I23,"CUMPLE","NO CUMPLE"))</f>
        <v/>
      </c>
      <c r="K23" s="17" t="n"/>
      <c r="L23" s="18" t="n">
        <v>0.8</v>
      </c>
      <c r="M23" s="19">
        <f>IF(K23="","",IF(K23&gt;=L23,"CUMPLE","NO CUMPLE"))</f>
        <v/>
      </c>
      <c r="N23" s="17" t="n"/>
      <c r="O23" s="18" t="n">
        <v>0.98</v>
      </c>
      <c r="P23" s="19">
        <f>IF(N23="","",IF(N23&gt;=O23,"CUMPLE","NO CUMPLE"))</f>
        <v/>
      </c>
      <c r="Q23" s="17" t="n"/>
      <c r="R23" s="18" t="n">
        <v>0.9</v>
      </c>
      <c r="S23" s="19">
        <f>IF(Q23="","",IF(Q23&gt;=R23,"CUMPLE","NO CUMPLE"))</f>
        <v/>
      </c>
      <c r="T23" s="20" t="n"/>
      <c r="U23" s="21" t="n">
        <v>410</v>
      </c>
      <c r="V23" s="19">
        <f>IF(T23="","",IF(T23&lt;=U23,"CUMPLE","NO CUMPLE"))</f>
        <v/>
      </c>
      <c r="W23" s="17" t="n"/>
      <c r="X23" s="18" t="n">
        <v>0.05</v>
      </c>
      <c r="Y23" s="19">
        <f>IF(W23="","",IF(W23&lt;=X23,"CUMPLE","NO CUMPLE"))</f>
        <v/>
      </c>
      <c r="Z23" s="17" t="n"/>
      <c r="AA23" s="18" t="n">
        <v>0.03</v>
      </c>
      <c r="AB23" s="19">
        <f>IF(Z23="","",IF(Z23&lt;=AA23,"CUMPLE","NO CUMPLE"))</f>
        <v/>
      </c>
      <c r="AC23" s="17" t="n"/>
      <c r="AD23" s="18" t="n">
        <v>0.02</v>
      </c>
      <c r="AE23" s="19">
        <f>IF(AC23="","",IF(AC23&lt;=AD23,"CUMPLE","NO CUMPLE"))</f>
        <v/>
      </c>
      <c r="AF23" s="17" t="n"/>
      <c r="AG23" s="18" t="n">
        <v>0.05</v>
      </c>
      <c r="AH23" s="19">
        <f>IF(AF23="","",IF(AF23&lt;=AG23,"CUMPLE","NO CUMPLE"))</f>
        <v/>
      </c>
      <c r="AI23" s="22" t="n"/>
      <c r="AJ23" s="22" t="n"/>
    </row>
    <row r="24">
      <c r="A24" s="13" t="inlineStr">
        <is>
          <t>1032495578</t>
        </is>
      </c>
      <c r="B24" s="14" t="inlineStr">
        <is>
          <t>VILLOTA BLANDON VALENTINA</t>
        </is>
      </c>
      <c r="C24" s="15" t="inlineStr">
        <is>
          <t>MONITOREO TRANSACCIONAL</t>
        </is>
      </c>
      <c r="D24" s="16" t="inlineStr">
        <is>
          <t>DOTOR SANTIAGO ALEX ALEJANDRO</t>
        </is>
      </c>
      <c r="E24" s="17" t="n"/>
      <c r="F24" s="23" t="n">
        <v>0.95</v>
      </c>
      <c r="G24" s="19">
        <f>IF(E24="","",IF(E24&gt;=F24,"CUMPLE","NO CUMPLE"))</f>
        <v/>
      </c>
      <c r="H24" s="17" t="n"/>
      <c r="I24" s="23" t="n">
        <v>0.9</v>
      </c>
      <c r="J24" s="19">
        <f>IF(H24="","",IF(H24&gt;=I24,"CUMPLE","NO CUMPLE"))</f>
        <v/>
      </c>
      <c r="K24" s="17" t="n"/>
      <c r="L24" s="23" t="n">
        <v>0.8</v>
      </c>
      <c r="M24" s="19">
        <f>IF(K24="","",IF(K24&gt;=L24,"CUMPLE","NO CUMPLE"))</f>
        <v/>
      </c>
      <c r="N24" s="17" t="n"/>
      <c r="O24" s="23" t="n">
        <v>0.98</v>
      </c>
      <c r="P24" s="19">
        <f>IF(N24="","",IF(N24&gt;=O24,"CUMPLE","NO CUMPLE"))</f>
        <v/>
      </c>
      <c r="Q24" s="17" t="n"/>
      <c r="R24" s="23" t="n">
        <v>0.9</v>
      </c>
      <c r="S24" s="19">
        <f>IF(Q24="","",IF(Q24&gt;=R24,"CUMPLE","NO CUMPLE"))</f>
        <v/>
      </c>
      <c r="T24" s="20" t="n"/>
      <c r="U24" s="24" t="n">
        <v>410</v>
      </c>
      <c r="V24" s="19">
        <f>IF(T24="","",IF(T24&lt;=U24,"CUMPLE","NO CUMPLE"))</f>
        <v/>
      </c>
      <c r="W24" s="17" t="n"/>
      <c r="X24" s="23" t="n">
        <v>0.05</v>
      </c>
      <c r="Y24" s="19">
        <f>IF(W24="","",IF(W24&lt;=X24,"CUMPLE","NO CUMPLE"))</f>
        <v/>
      </c>
      <c r="Z24" s="17" t="n"/>
      <c r="AA24" s="23" t="n">
        <v>0.03</v>
      </c>
      <c r="AB24" s="19">
        <f>IF(Z24="","",IF(Z24&lt;=AA24,"CUMPLE","NO CUMPLE"))</f>
        <v/>
      </c>
      <c r="AC24" s="17" t="n"/>
      <c r="AD24" s="23" t="n">
        <v>0.02</v>
      </c>
      <c r="AE24" s="19">
        <f>IF(AC24="","",IF(AC24&lt;=AD24,"CUMPLE","NO CUMPLE"))</f>
        <v/>
      </c>
      <c r="AF24" s="17" t="n"/>
      <c r="AG24" s="23" t="n">
        <v>0.05</v>
      </c>
      <c r="AH24" s="19">
        <f>IF(AF24="","",IF(AF24&lt;=AG24,"CUMPLE","NO CUMPLE"))</f>
        <v/>
      </c>
      <c r="AI24" s="22" t="n"/>
      <c r="AJ24" s="22" t="n"/>
    </row>
  </sheetData>
  <mergeCells count="12">
    <mergeCell ref="H1:J1"/>
    <mergeCell ref="A1:D1"/>
    <mergeCell ref="Z1:AB1"/>
    <mergeCell ref="AC1:AE1"/>
    <mergeCell ref="AF1:AH1"/>
    <mergeCell ref="T1:V1"/>
    <mergeCell ref="W1:Y1"/>
    <mergeCell ref="AI1:AJ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5" t="inlineStr">
        <is>
          <t>Nombres del equipo — no borrar esta hoja</t>
        </is>
      </c>
    </row>
    <row r="2">
      <c r="A2" t="inlineStr">
        <is>
          <t>AGUILAR GUERRERO FELIX ALBERTO</t>
        </is>
      </c>
      <c r="B2" s="26" t="inlineStr">
        <is>
          <t>6079952</t>
        </is>
      </c>
      <c r="C2" t="inlineStr">
        <is>
          <t>MONITOREO TRANSACCIONAL</t>
        </is>
      </c>
      <c r="D2" t="inlineStr">
        <is>
          <t>DOTOR SANTIAGO ALEX ALEJANDRO</t>
        </is>
      </c>
    </row>
    <row r="3">
      <c r="A3" t="inlineStr">
        <is>
          <t>BOLIVAR JARAMILLO CRISTIAN SANTIAGO</t>
        </is>
      </c>
      <c r="B3" s="26" t="inlineStr">
        <is>
          <t>1014291349</t>
        </is>
      </c>
      <c r="C3" t="inlineStr">
        <is>
          <t>MONITOREO TRANSACCIONAL</t>
        </is>
      </c>
      <c r="D3" t="inlineStr">
        <is>
          <t>DOTOR SANTIAGO ALEX ALEJANDRO</t>
        </is>
      </c>
    </row>
    <row r="4">
      <c r="A4" t="inlineStr">
        <is>
          <t>CALIZ YONDA INGRID YULIETH</t>
        </is>
      </c>
      <c r="B4" s="26" t="inlineStr">
        <is>
          <t>1062078571</t>
        </is>
      </c>
      <c r="C4" t="inlineStr">
        <is>
          <t>MONITOREO TRANSACCIONAL</t>
        </is>
      </c>
      <c r="D4" t="inlineStr">
        <is>
          <t>DOTOR SANTIAGO ALEX ALEJANDRO</t>
        </is>
      </c>
    </row>
    <row r="5">
      <c r="A5" t="inlineStr">
        <is>
          <t>CASTIBLANCO VICENTES JOHN DEYVY</t>
        </is>
      </c>
      <c r="B5" s="26" t="inlineStr">
        <is>
          <t>1018480929</t>
        </is>
      </c>
      <c r="C5" t="inlineStr">
        <is>
          <t>MONITOREO TRANSACCIONAL</t>
        </is>
      </c>
      <c r="D5" t="inlineStr">
        <is>
          <t>DOTOR SANTIAGO ALEX ALEJANDRO</t>
        </is>
      </c>
    </row>
    <row r="6">
      <c r="A6" t="inlineStr">
        <is>
          <t>CELIS SALAS YADIRA</t>
        </is>
      </c>
      <c r="B6" s="26" t="inlineStr">
        <is>
          <t>1002297526</t>
        </is>
      </c>
      <c r="C6" t="inlineStr">
        <is>
          <t>MONITOREO TRANSACCIONAL</t>
        </is>
      </c>
      <c r="D6" t="inlineStr">
        <is>
          <t>DOTOR SANTIAGO ALEX ALEJANDRO</t>
        </is>
      </c>
    </row>
    <row r="7">
      <c r="A7" t="inlineStr">
        <is>
          <t>CLAVIJO GARAY ANDERSON LEONARDO</t>
        </is>
      </c>
      <c r="B7" s="26" t="inlineStr">
        <is>
          <t>1007408013</t>
        </is>
      </c>
      <c r="C7" t="inlineStr">
        <is>
          <t>MONITOREO TRANSACCIONAL</t>
        </is>
      </c>
      <c r="D7" t="inlineStr">
        <is>
          <t>DOTOR SANTIAGO ALEX ALEJANDRO</t>
        </is>
      </c>
    </row>
    <row r="8">
      <c r="A8" t="inlineStr">
        <is>
          <t>CONTRERAS GONZALEZ JULIETH</t>
        </is>
      </c>
      <c r="B8" s="26" t="inlineStr">
        <is>
          <t>1024502402</t>
        </is>
      </c>
      <c r="C8" t="inlineStr">
        <is>
          <t>MONITOREO TRANSACCIONAL</t>
        </is>
      </c>
      <c r="D8" t="inlineStr">
        <is>
          <t>DOTOR SANTIAGO ALEX ALEJANDRO</t>
        </is>
      </c>
    </row>
    <row r="9">
      <c r="A9" t="inlineStr">
        <is>
          <t>CUENCA ROMERO DANIELA</t>
        </is>
      </c>
      <c r="B9" s="26" t="inlineStr">
        <is>
          <t>1069728622</t>
        </is>
      </c>
      <c r="C9" t="inlineStr">
        <is>
          <t>MONITOREO TRANSACCIONAL</t>
        </is>
      </c>
      <c r="D9" t="inlineStr">
        <is>
          <t>DOTOR SANTIAGO ALEX ALEJANDRO</t>
        </is>
      </c>
    </row>
    <row r="10">
      <c r="A10" t="inlineStr">
        <is>
          <t>DIAZ LUNA SUSAN ANGELICA</t>
        </is>
      </c>
      <c r="B10" s="26" t="inlineStr">
        <is>
          <t>1007677081</t>
        </is>
      </c>
      <c r="C10" t="inlineStr">
        <is>
          <t>MONITOREO TRANSACCIONAL</t>
        </is>
      </c>
      <c r="D10" t="inlineStr">
        <is>
          <t>DOTOR SANTIAGO ALEX ALEJANDRO</t>
        </is>
      </c>
    </row>
    <row r="11">
      <c r="A11" t="inlineStr">
        <is>
          <t>GARCIA CAÑON CARLAYN JHOANA</t>
        </is>
      </c>
      <c r="B11" s="26" t="inlineStr">
        <is>
          <t>1031168560</t>
        </is>
      </c>
      <c r="C11" t="inlineStr">
        <is>
          <t>MONITOREO TRANSACCIONAL</t>
        </is>
      </c>
      <c r="D11" t="inlineStr">
        <is>
          <t>DOTOR SANTIAGO ALEX ALEJANDRO</t>
        </is>
      </c>
    </row>
    <row r="12">
      <c r="A12" t="inlineStr">
        <is>
          <t>GORDILLO TORRES DAYAN KATHERINNE</t>
        </is>
      </c>
      <c r="B12" s="26" t="inlineStr">
        <is>
          <t>1012333413</t>
        </is>
      </c>
      <c r="C12" t="inlineStr">
        <is>
          <t>MONITOREO TRANSACCIONAL</t>
        </is>
      </c>
      <c r="D12" t="inlineStr">
        <is>
          <t>DOTOR SANTIAGO ALEX ALEJANDRO</t>
        </is>
      </c>
    </row>
    <row r="13">
      <c r="A13" t="inlineStr">
        <is>
          <t>LABRADOR ROBLES JIMMY ALEJANDRO</t>
        </is>
      </c>
      <c r="B13" s="26" t="inlineStr">
        <is>
          <t>1013659634</t>
        </is>
      </c>
      <c r="C13" t="inlineStr">
        <is>
          <t>MONITOREO TRANSACCIONAL</t>
        </is>
      </c>
      <c r="D13" t="inlineStr">
        <is>
          <t>DOTOR SANTIAGO ALEX ALEJANDRO</t>
        </is>
      </c>
    </row>
    <row r="14">
      <c r="A14" t="inlineStr">
        <is>
          <t>MESA QUIROGA MAYERLI YOANA</t>
        </is>
      </c>
      <c r="B14" s="26" t="inlineStr">
        <is>
          <t>1015429676</t>
        </is>
      </c>
      <c r="C14" t="inlineStr">
        <is>
          <t>MONITOREO TRANSACCIONAL</t>
        </is>
      </c>
      <c r="D14" t="inlineStr">
        <is>
          <t>DOTOR SANTIAGO ALEX ALEJANDRO</t>
        </is>
      </c>
    </row>
    <row r="15">
      <c r="A15" t="inlineStr">
        <is>
          <t>NEIRA HUERTAS ALEJANDRO</t>
        </is>
      </c>
      <c r="B15" s="26" t="inlineStr">
        <is>
          <t>1003660950</t>
        </is>
      </c>
      <c r="C15" t="inlineStr">
        <is>
          <t>MONITOREO TRANSACCIONAL</t>
        </is>
      </c>
      <c r="D15" t="inlineStr">
        <is>
          <t>DOTOR SANTIAGO ALEX ALEJANDRO</t>
        </is>
      </c>
    </row>
    <row r="16">
      <c r="A16" t="inlineStr">
        <is>
          <t>OROZCO ACUÑA RICHARD JOSE</t>
        </is>
      </c>
      <c r="B16" s="26" t="inlineStr">
        <is>
          <t>1003235912</t>
        </is>
      </c>
      <c r="C16" t="inlineStr">
        <is>
          <t>MONITOREO TRANSACCIONAL</t>
        </is>
      </c>
      <c r="D16" t="inlineStr">
        <is>
          <t>DOTOR SANTIAGO ALEX ALEJANDRO</t>
        </is>
      </c>
    </row>
    <row r="17">
      <c r="A17" t="inlineStr">
        <is>
          <t>RUIZ BETANCUR MARIA TERESA</t>
        </is>
      </c>
      <c r="B17" s="26" t="inlineStr">
        <is>
          <t>1002378830</t>
        </is>
      </c>
      <c r="C17" t="inlineStr">
        <is>
          <t>MONITOREO TRANSACCIONAL</t>
        </is>
      </c>
      <c r="D17" t="inlineStr">
        <is>
          <t>DOTOR SANTIAGO ALEX ALEJANDRO</t>
        </is>
      </c>
    </row>
    <row r="18">
      <c r="A18" t="inlineStr">
        <is>
          <t>SAENZ GARCIA JESSICA KATERINE</t>
        </is>
      </c>
      <c r="B18" s="26" t="inlineStr">
        <is>
          <t>1109848001</t>
        </is>
      </c>
      <c r="C18" t="inlineStr">
        <is>
          <t>MONITOREO TRANSACCIONAL</t>
        </is>
      </c>
      <c r="D18" t="inlineStr">
        <is>
          <t>DOTOR SANTIAGO ALEX ALEJANDRO</t>
        </is>
      </c>
    </row>
    <row r="19">
      <c r="A19" t="inlineStr">
        <is>
          <t>SALAZAR HERRERA SANDRA SUSANA</t>
        </is>
      </c>
      <c r="B19" s="26" t="inlineStr">
        <is>
          <t>1022365378</t>
        </is>
      </c>
      <c r="C19" t="inlineStr">
        <is>
          <t>MONITOREO TRANSACCIONAL</t>
        </is>
      </c>
      <c r="D19" t="inlineStr">
        <is>
          <t>DOTOR SANTIAGO ALEX ALEJANDRO</t>
        </is>
      </c>
    </row>
    <row r="20">
      <c r="A20" t="inlineStr">
        <is>
          <t>SOTO FREITE ESTEFANY PAOLA</t>
        </is>
      </c>
      <c r="B20" s="26" t="inlineStr">
        <is>
          <t>1095799850</t>
        </is>
      </c>
      <c r="C20" t="inlineStr">
        <is>
          <t>MONITOREO TRANSACCIONAL</t>
        </is>
      </c>
      <c r="D20" t="inlineStr">
        <is>
          <t>DOTOR SANTIAGO ALEX ALEJANDRO</t>
        </is>
      </c>
    </row>
    <row r="21">
      <c r="A21" t="inlineStr">
        <is>
          <t>VALENCIA DUQUE DIANA MARCELA</t>
        </is>
      </c>
      <c r="B21" s="26" t="inlineStr">
        <is>
          <t>1013658280</t>
        </is>
      </c>
      <c r="C21" t="inlineStr">
        <is>
          <t>MONITOREO TRANSACCIONAL</t>
        </is>
      </c>
      <c r="D21" t="inlineStr">
        <is>
          <t>DOTOR SANTIAGO ALEX ALEJANDRO</t>
        </is>
      </c>
    </row>
    <row r="22">
      <c r="A22" t="inlineStr">
        <is>
          <t>VARGAS ARISMENDY DAVID ESTEBAN</t>
        </is>
      </c>
      <c r="B22" s="26" t="inlineStr">
        <is>
          <t>1000125624</t>
        </is>
      </c>
      <c r="C22" t="inlineStr">
        <is>
          <t>MONITOREO TRANSACCIONAL</t>
        </is>
      </c>
      <c r="D22" t="inlineStr">
        <is>
          <t>DOTOR SANTIAGO ALEX ALEJANDRO</t>
        </is>
      </c>
    </row>
    <row r="23">
      <c r="A23" t="inlineStr">
        <is>
          <t>VILLOTA BLANDON VALENTINA</t>
        </is>
      </c>
      <c r="B23" s="26" t="inlineStr">
        <is>
          <t>1032495578</t>
        </is>
      </c>
      <c r="C23" t="inlineStr">
        <is>
          <t>MONITOREO TRANSACCIONAL</t>
        </is>
      </c>
      <c r="D23" t="inlineStr">
        <is>
          <t>DOTOR SANTIAGO ALEX ALEJANDRO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6" customWidth="1" min="3" max="3"/>
    <col width="14" customWidth="1" min="4" max="4"/>
    <col width="24" customWidth="1" min="5" max="5"/>
    <col width="24" customWidth="1" min="6" max="6"/>
    <col width="24" customWidth="1" min="7" max="7"/>
    <col width="24" customWidth="1" min="8" max="8"/>
    <col width="34" customWidth="1" min="9" max="9"/>
  </cols>
  <sheetData>
    <row r="1" ht="28" customHeight="1">
      <c r="A1" s="27" t="inlineStr">
        <is>
          <t>nombre_agente</t>
        </is>
      </c>
      <c r="B1" s="27" t="inlineStr">
        <is>
          <t>id_interaccion</t>
        </is>
      </c>
      <c r="C1" s="27" t="inlineStr">
        <is>
          <t>link_gestion</t>
        </is>
      </c>
      <c r="D1" s="27" t="inlineStr">
        <is>
          <t>cola</t>
        </is>
      </c>
      <c r="E1" s="27" t="inlineStr">
        <is>
          <t>macroproceso</t>
        </is>
      </c>
      <c r="F1" s="27" t="inlineStr">
        <is>
          <t>proceso</t>
        </is>
      </c>
      <c r="G1" s="27" t="inlineStr">
        <is>
          <t>subproceso_uno</t>
        </is>
      </c>
      <c r="H1" s="27" t="inlineStr">
        <is>
          <t>subproceso_dos</t>
        </is>
      </c>
      <c r="I1" s="27" t="inlineStr">
        <is>
          <t>observaciones</t>
        </is>
      </c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</row>
    <row r="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</row>
    <row r="15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</row>
    <row r="15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</row>
    <row r="156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</row>
    <row r="158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</row>
    <row r="16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</row>
    <row r="16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</row>
    <row r="16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</row>
    <row r="166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</row>
    <row r="168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</row>
    <row r="17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</row>
    <row r="17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</row>
    <row r="17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</row>
    <row r="176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</row>
    <row r="178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</row>
    <row r="18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</row>
    <row r="18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</row>
    <row r="18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</row>
    <row r="186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</row>
    <row r="188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</row>
    <row r="19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</row>
    <row r="19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</row>
    <row r="19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</row>
    <row r="196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</row>
    <row r="198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</row>
    <row r="20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</row>
    <row r="20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</row>
    <row r="204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</row>
    <row r="206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</row>
    <row r="208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</row>
    <row r="2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</row>
    <row r="21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</row>
    <row r="214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</row>
    <row r="216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</row>
    <row r="218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</row>
    <row r="22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</row>
    <row r="22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</row>
    <row r="224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</row>
    <row r="226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</row>
    <row r="228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</row>
    <row r="23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</row>
    <row r="23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</row>
    <row r="234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</row>
    <row r="236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</row>
    <row r="238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</row>
    <row r="24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</row>
    <row r="2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</row>
    <row r="244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</row>
    <row r="246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</row>
    <row r="248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</row>
    <row r="25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</row>
    <row r="25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</row>
    <row r="254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</row>
    <row r="256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</row>
    <row r="258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</row>
    <row r="26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</row>
    <row r="26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</row>
    <row r="264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</row>
    <row r="266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</row>
    <row r="268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</row>
    <row r="27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</row>
    <row r="27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</row>
    <row r="274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</row>
    <row r="276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</row>
    <row r="278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</row>
    <row r="28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</row>
    <row r="28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</row>
    <row r="284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</row>
    <row r="286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</row>
    <row r="288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</row>
    <row r="29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</row>
    <row r="29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</row>
    <row r="294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</row>
    <row r="296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</row>
    <row r="298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</row>
    <row r="30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</row>
    <row r="30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</row>
    <row r="304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</row>
    <row r="306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</row>
    <row r="308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</row>
    <row r="3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</row>
    <row r="31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</row>
    <row r="314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</row>
    <row r="316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</row>
    <row r="318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</row>
    <row r="320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</row>
    <row r="32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</row>
    <row r="324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</row>
    <row r="326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</row>
    <row r="328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</row>
    <row r="330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</row>
    <row r="33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</row>
    <row r="334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</row>
    <row r="336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</row>
    <row r="338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</row>
    <row r="340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</row>
    <row r="3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</row>
    <row r="344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</row>
    <row r="346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</row>
    <row r="348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</row>
    <row r="350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</row>
    <row r="35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</row>
    <row r="354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</row>
    <row r="356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</row>
    <row r="358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</row>
    <row r="376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</row>
    <row r="378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</row>
    <row r="380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</row>
    <row r="38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</row>
    <row r="384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</row>
    <row r="386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</row>
    <row r="388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</row>
    <row r="390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</row>
    <row r="39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</row>
    <row r="394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</row>
    <row r="396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</row>
    <row r="398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</row>
    <row r="400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</row>
    <row r="40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</row>
    <row r="404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</row>
    <row r="406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</row>
    <row r="408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</row>
    <row r="410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</row>
    <row r="41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</row>
    <row r="414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</row>
    <row r="416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</row>
    <row r="418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</row>
    <row r="420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</row>
    <row r="42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</row>
    <row r="424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</row>
    <row r="426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</row>
    <row r="428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</row>
    <row r="430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</row>
    <row r="43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</row>
    <row r="434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</row>
    <row r="436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</row>
    <row r="438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</row>
    <row r="440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</row>
    <row r="4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</row>
    <row r="444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</row>
    <row r="446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</row>
    <row r="448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</row>
    <row r="450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</row>
    <row r="45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</row>
    <row r="454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</row>
    <row r="456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</row>
    <row r="458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</row>
    <row r="460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</row>
    <row r="46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</row>
    <row r="464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</row>
    <row r="466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</row>
    <row r="468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</row>
    <row r="470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</row>
    <row r="47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</row>
    <row r="474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</row>
    <row r="476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</row>
    <row r="478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</row>
    <row r="480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</row>
    <row r="48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</row>
    <row r="484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</row>
    <row r="486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</row>
    <row r="488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</row>
    <row r="490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</row>
    <row r="49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</row>
    <row r="494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</row>
    <row r="496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</row>
    <row r="498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</row>
  </sheetData>
  <autoFilter ref="A1:I1"/>
  <dataValidations count="1">
    <dataValidation sqref="A2:A3000" showDropDown="0" showInputMessage="0" showErrorMessage="0" allowBlank="1" errorTitle="Nombre fuera del equipo" error="Ese nombre no está en la hoja de indicadores. Revisa que esté escrito igual." type="list" errorStyle="warning">
      <formula1>Listas!$A$2:$A$23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4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8" customHeight="1">
      <c r="A1" s="30" t="inlineStr">
        <is>
          <t>Nombre del agente</t>
        </is>
      </c>
      <c r="B1" s="30" t="inlineStr">
        <is>
          <t>Fecha</t>
        </is>
      </c>
      <c r="C1" s="30" t="inlineStr">
        <is>
          <t>ID o enlace de la interaccion</t>
        </is>
      </c>
      <c r="D1" s="31" t="inlineStr">
        <is>
          <t>Saludo institucional</t>
        </is>
      </c>
      <c r="E1" s="31" t="inlineStr">
        <is>
          <t>Verificación de identidad</t>
        </is>
      </c>
      <c r="F1" s="31" t="inlineStr">
        <is>
          <t>Escucha activa</t>
        </is>
      </c>
      <c r="G1" s="31" t="inlineStr">
        <is>
          <t>Manejo del aplicativo</t>
        </is>
      </c>
      <c r="H1" s="31" t="inlineStr">
        <is>
          <t>Información entregada</t>
        </is>
      </c>
      <c r="I1" s="31" t="inlineStr">
        <is>
          <t>Tipificación de la gestión</t>
        </is>
      </c>
      <c r="J1" s="31" t="inlineStr">
        <is>
          <t>Cierre y despedida</t>
        </is>
      </c>
      <c r="K1" s="31" t="inlineStr">
        <is>
          <t>Compromiso de mejora</t>
        </is>
      </c>
    </row>
    <row r="2">
      <c r="A2" s="32" t="n"/>
      <c r="B2" s="33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</row>
    <row r="3">
      <c r="A3" s="34" t="n"/>
      <c r="B3" s="35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</row>
    <row r="4">
      <c r="A4" s="32" t="n"/>
      <c r="B4" s="33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</row>
    <row r="5">
      <c r="A5" s="34" t="n"/>
      <c r="B5" s="35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>
      <c r="A6" s="32" t="n"/>
      <c r="B6" s="33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</row>
    <row r="7">
      <c r="A7" s="34" t="n"/>
      <c r="B7" s="35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</row>
    <row r="8">
      <c r="A8" s="32" t="n"/>
      <c r="B8" s="33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>
      <c r="A9" s="34" t="n"/>
      <c r="B9" s="35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</row>
    <row r="10">
      <c r="A10" s="32" t="n"/>
      <c r="B10" s="33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</row>
    <row r="11">
      <c r="A11" s="34" t="n"/>
      <c r="B11" s="35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</row>
    <row r="12">
      <c r="A12" s="32" t="n"/>
      <c r="B12" s="33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</row>
    <row r="13">
      <c r="A13" s="34" t="n"/>
      <c r="B13" s="35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</row>
    <row r="14">
      <c r="A14" s="32" t="n"/>
      <c r="B14" s="33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>
      <c r="A15" s="34" t="n"/>
      <c r="B15" s="35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</row>
    <row r="16">
      <c r="A16" s="32" t="n"/>
      <c r="B16" s="33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>
      <c r="A17" s="34" t="n"/>
      <c r="B17" s="35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</row>
    <row r="18">
      <c r="A18" s="32" t="n"/>
      <c r="B18" s="33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</row>
    <row r="19">
      <c r="A19" s="34" t="n"/>
      <c r="B19" s="35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</row>
    <row r="20">
      <c r="A20" s="32" t="n"/>
      <c r="B20" s="33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>
      <c r="A21" s="34" t="n"/>
      <c r="B21" s="35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</row>
    <row r="22">
      <c r="A22" s="32" t="n"/>
      <c r="B22" s="33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>
      <c r="A23" s="34" t="n"/>
      <c r="B23" s="35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</row>
    <row r="24">
      <c r="A24" s="32" t="n"/>
      <c r="B24" s="33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</row>
    <row r="25">
      <c r="A25" s="34" t="n"/>
      <c r="B25" s="35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</row>
    <row r="26">
      <c r="A26" s="32" t="n"/>
      <c r="B26" s="33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>
      <c r="A27" s="34" t="n"/>
      <c r="B27" s="35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</row>
    <row r="28">
      <c r="A28" s="32" t="n"/>
      <c r="B28" s="33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>
      <c r="A29" s="34" t="n"/>
      <c r="B29" s="35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</row>
    <row r="30">
      <c r="A30" s="32" t="n"/>
      <c r="B30" s="33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>
      <c r="A31" s="34" t="n"/>
      <c r="B31" s="35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</row>
    <row r="32">
      <c r="A32" s="32" t="n"/>
      <c r="B32" s="3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>
      <c r="A33" s="34" t="n"/>
      <c r="B33" s="35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</row>
    <row r="34">
      <c r="A34" s="32" t="n"/>
      <c r="B34" s="3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>
      <c r="A35" s="34" t="n"/>
      <c r="B35" s="35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</row>
    <row r="36">
      <c r="A36" s="32" t="n"/>
      <c r="B36" s="3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>
      <c r="A37" s="34" t="n"/>
      <c r="B37" s="35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</row>
    <row r="38">
      <c r="A38" s="32" t="n"/>
      <c r="B38" s="3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>
      <c r="A39" s="34" t="n"/>
      <c r="B39" s="35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</row>
    <row r="40">
      <c r="A40" s="32" t="n"/>
      <c r="B40" s="3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>
      <c r="A41" s="34" t="n"/>
      <c r="B41" s="35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</row>
    <row r="42">
      <c r="A42" s="32" t="n"/>
      <c r="B42" s="3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>
      <c r="A43" s="34" t="n"/>
      <c r="B43" s="35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</row>
    <row r="44">
      <c r="A44" s="32" t="n"/>
      <c r="B44" s="3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>
      <c r="A45" s="34" t="n"/>
      <c r="B45" s="35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</row>
    <row r="46">
      <c r="A46" s="32" t="n"/>
      <c r="B46" s="3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>
      <c r="A47" s="34" t="n"/>
      <c r="B47" s="35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</row>
    <row r="48">
      <c r="A48" s="32" t="n"/>
      <c r="B48" s="3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>
      <c r="A49" s="34" t="n"/>
      <c r="B49" s="35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</row>
    <row r="50">
      <c r="A50" s="32" t="n"/>
      <c r="B50" s="3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>
      <c r="A51" s="34" t="n"/>
      <c r="B51" s="35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</row>
    <row r="52">
      <c r="A52" s="32" t="n"/>
      <c r="B52" s="3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>
      <c r="A53" s="34" t="n"/>
      <c r="B53" s="35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</row>
    <row r="54">
      <c r="A54" s="32" t="n"/>
      <c r="B54" s="33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>
      <c r="A55" s="34" t="n"/>
      <c r="B55" s="35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</row>
    <row r="56">
      <c r="A56" s="32" t="n"/>
      <c r="B56" s="33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>
      <c r="A57" s="34" t="n"/>
      <c r="B57" s="35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</row>
    <row r="58">
      <c r="A58" s="32" t="n"/>
      <c r="B58" s="33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>
      <c r="A59" s="34" t="n"/>
      <c r="B59" s="35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</row>
    <row r="60">
      <c r="A60" s="32" t="n"/>
      <c r="B60" s="33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>
      <c r="A61" s="34" t="n"/>
      <c r="B61" s="35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</row>
    <row r="62">
      <c r="A62" s="32" t="n"/>
      <c r="B62" s="33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>
      <c r="A63" s="34" t="n"/>
      <c r="B63" s="35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</row>
    <row r="64">
      <c r="A64" s="32" t="n"/>
      <c r="B64" s="33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>
      <c r="A65" s="34" t="n"/>
      <c r="B65" s="35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</row>
    <row r="66">
      <c r="A66" s="32" t="n"/>
      <c r="B66" s="33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>
      <c r="A67" s="34" t="n"/>
      <c r="B67" s="35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</row>
    <row r="68">
      <c r="A68" s="32" t="n"/>
      <c r="B68" s="33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>
      <c r="A69" s="34" t="n"/>
      <c r="B69" s="35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</row>
    <row r="70">
      <c r="A70" s="32" t="n"/>
      <c r="B70" s="33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>
      <c r="A71" s="34" t="n"/>
      <c r="B71" s="35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</row>
    <row r="72">
      <c r="A72" s="32" t="n"/>
      <c r="B72" s="33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>
      <c r="A73" s="34" t="n"/>
      <c r="B73" s="35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</row>
    <row r="74">
      <c r="A74" s="32" t="n"/>
      <c r="B74" s="33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>
      <c r="A75" s="34" t="n"/>
      <c r="B75" s="35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</row>
    <row r="76">
      <c r="A76" s="32" t="n"/>
      <c r="B76" s="33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>
      <c r="A77" s="34" t="n"/>
      <c r="B77" s="35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</row>
    <row r="78">
      <c r="A78" s="32" t="n"/>
      <c r="B78" s="33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>
      <c r="A79" s="34" t="n"/>
      <c r="B79" s="35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</row>
    <row r="80">
      <c r="A80" s="32" t="n"/>
      <c r="B80" s="33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>
      <c r="A81" s="34" t="n"/>
      <c r="B81" s="35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</row>
    <row r="82">
      <c r="A82" s="32" t="n"/>
      <c r="B82" s="33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>
      <c r="A83" s="34" t="n"/>
      <c r="B83" s="35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</row>
    <row r="84">
      <c r="A84" s="32" t="n"/>
      <c r="B84" s="33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>
      <c r="A85" s="34" t="n"/>
      <c r="B85" s="35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</row>
    <row r="86">
      <c r="A86" s="32" t="n"/>
      <c r="B86" s="33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  <row r="87">
      <c r="A87" s="34" t="n"/>
      <c r="B87" s="35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</row>
    <row r="88">
      <c r="A88" s="32" t="n"/>
      <c r="B88" s="33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</row>
    <row r="89">
      <c r="A89" s="34" t="n"/>
      <c r="B89" s="35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</row>
    <row r="90">
      <c r="A90" s="32" t="n"/>
      <c r="B90" s="33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</row>
    <row r="91">
      <c r="A91" s="34" t="n"/>
      <c r="B91" s="35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</row>
    <row r="92">
      <c r="A92" s="32" t="n"/>
      <c r="B92" s="33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</row>
    <row r="93">
      <c r="A93" s="34" t="n"/>
      <c r="B93" s="35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</row>
    <row r="94">
      <c r="A94" s="32" t="n"/>
      <c r="B94" s="33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</row>
    <row r="95">
      <c r="A95" s="34" t="n"/>
      <c r="B95" s="35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</row>
    <row r="96">
      <c r="A96" s="32" t="n"/>
      <c r="B96" s="33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</row>
    <row r="97">
      <c r="A97" s="34" t="n"/>
      <c r="B97" s="35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</row>
    <row r="98">
      <c r="A98" s="32" t="n"/>
      <c r="B98" s="33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</row>
    <row r="99">
      <c r="A99" s="34" t="n"/>
      <c r="B99" s="35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</row>
    <row r="100">
      <c r="A100" s="32" t="n"/>
      <c r="B100" s="33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</row>
    <row r="101">
      <c r="A101" s="34" t="n"/>
      <c r="B101" s="35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</row>
    <row r="102">
      <c r="A102" s="32" t="n"/>
      <c r="B102" s="33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</row>
    <row r="103">
      <c r="A103" s="34" t="n"/>
      <c r="B103" s="35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</row>
    <row r="104">
      <c r="A104" s="32" t="n"/>
      <c r="B104" s="33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</row>
    <row r="105">
      <c r="A105" s="34" t="n"/>
      <c r="B105" s="35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</row>
    <row r="106">
      <c r="A106" s="32" t="n"/>
      <c r="B106" s="33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</row>
    <row r="107">
      <c r="A107" s="34" t="n"/>
      <c r="B107" s="35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</row>
    <row r="108">
      <c r="A108" s="32" t="n"/>
      <c r="B108" s="33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</row>
    <row r="109">
      <c r="A109" s="34" t="n"/>
      <c r="B109" s="35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</row>
    <row r="110">
      <c r="A110" s="32" t="n"/>
      <c r="B110" s="33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</row>
    <row r="111">
      <c r="A111" s="34" t="n"/>
      <c r="B111" s="35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</row>
    <row r="112">
      <c r="A112" s="32" t="n"/>
      <c r="B112" s="33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</row>
    <row r="113">
      <c r="A113" s="34" t="n"/>
      <c r="B113" s="35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</row>
    <row r="114">
      <c r="A114" s="32" t="n"/>
      <c r="B114" s="33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</row>
    <row r="115">
      <c r="A115" s="34" t="n"/>
      <c r="B115" s="35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</row>
    <row r="116">
      <c r="A116" s="32" t="n"/>
      <c r="B116" s="33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</row>
    <row r="117">
      <c r="A117" s="34" t="n"/>
      <c r="B117" s="35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</row>
    <row r="118">
      <c r="A118" s="32" t="n"/>
      <c r="B118" s="33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</row>
    <row r="119">
      <c r="A119" s="34" t="n"/>
      <c r="B119" s="35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</row>
    <row r="120">
      <c r="A120" s="32" t="n"/>
      <c r="B120" s="33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</row>
    <row r="121">
      <c r="A121" s="34" t="n"/>
      <c r="B121" s="35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</row>
    <row r="122">
      <c r="A122" s="32" t="n"/>
      <c r="B122" s="33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</row>
    <row r="123">
      <c r="A123" s="34" t="n"/>
      <c r="B123" s="35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</row>
    <row r="124">
      <c r="A124" s="32" t="n"/>
      <c r="B124" s="33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</row>
    <row r="125">
      <c r="A125" s="34" t="n"/>
      <c r="B125" s="35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</row>
    <row r="126">
      <c r="A126" s="32" t="n"/>
      <c r="B126" s="33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</row>
    <row r="127">
      <c r="A127" s="34" t="n"/>
      <c r="B127" s="35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</row>
    <row r="128">
      <c r="A128" s="32" t="n"/>
      <c r="B128" s="33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</row>
    <row r="129">
      <c r="A129" s="34" t="n"/>
      <c r="B129" s="35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</row>
    <row r="130">
      <c r="A130" s="32" t="n"/>
      <c r="B130" s="33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</row>
    <row r="131">
      <c r="A131" s="34" t="n"/>
      <c r="B131" s="35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</row>
    <row r="132">
      <c r="A132" s="32" t="n"/>
      <c r="B132" s="33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</row>
    <row r="133">
      <c r="A133" s="34" t="n"/>
      <c r="B133" s="35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</row>
    <row r="134">
      <c r="A134" s="32" t="n"/>
      <c r="B134" s="33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</row>
    <row r="135">
      <c r="A135" s="34" t="n"/>
      <c r="B135" s="35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</row>
    <row r="136">
      <c r="A136" s="32" t="n"/>
      <c r="B136" s="33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</row>
    <row r="137">
      <c r="A137" s="34" t="n"/>
      <c r="B137" s="35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</row>
    <row r="138">
      <c r="A138" s="32" t="n"/>
      <c r="B138" s="33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</row>
    <row r="139">
      <c r="A139" s="34" t="n"/>
      <c r="B139" s="35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</row>
    <row r="140">
      <c r="A140" s="32" t="n"/>
      <c r="B140" s="33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</row>
    <row r="141">
      <c r="A141" s="34" t="n"/>
      <c r="B141" s="35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</row>
    <row r="142">
      <c r="A142" s="32" t="n"/>
      <c r="B142" s="33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</row>
    <row r="143">
      <c r="A143" s="34" t="n"/>
      <c r="B143" s="35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</row>
    <row r="144">
      <c r="A144" s="32" t="n"/>
      <c r="B144" s="33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</row>
    <row r="145">
      <c r="A145" s="34" t="n"/>
      <c r="B145" s="35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</row>
    <row r="146">
      <c r="A146" s="32" t="n"/>
      <c r="B146" s="33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</row>
    <row r="147">
      <c r="A147" s="34" t="n"/>
      <c r="B147" s="35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</row>
    <row r="148">
      <c r="A148" s="32" t="n"/>
      <c r="B148" s="33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</row>
    <row r="149">
      <c r="A149" s="34" t="n"/>
      <c r="B149" s="35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</row>
    <row r="150">
      <c r="A150" s="32" t="n"/>
      <c r="B150" s="33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</row>
    <row r="151">
      <c r="A151" s="34" t="n"/>
      <c r="B151" s="35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</row>
    <row r="152">
      <c r="A152" s="32" t="n"/>
      <c r="B152" s="33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</row>
    <row r="153">
      <c r="A153" s="34" t="n"/>
      <c r="B153" s="35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</row>
    <row r="154">
      <c r="A154" s="32" t="n"/>
      <c r="B154" s="33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</row>
    <row r="155">
      <c r="A155" s="34" t="n"/>
      <c r="B155" s="35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</row>
    <row r="156">
      <c r="A156" s="32" t="n"/>
      <c r="B156" s="33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</row>
    <row r="157">
      <c r="A157" s="34" t="n"/>
      <c r="B157" s="35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</row>
    <row r="158">
      <c r="A158" s="32" t="n"/>
      <c r="B158" s="33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</row>
    <row r="159">
      <c r="A159" s="34" t="n"/>
      <c r="B159" s="35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</row>
    <row r="160">
      <c r="A160" s="32" t="n"/>
      <c r="B160" s="33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</row>
    <row r="161">
      <c r="A161" s="34" t="n"/>
      <c r="B161" s="35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</row>
    <row r="162">
      <c r="A162" s="32" t="n"/>
      <c r="B162" s="33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</row>
    <row r="163">
      <c r="A163" s="34" t="n"/>
      <c r="B163" s="35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</row>
    <row r="164">
      <c r="A164" s="32" t="n"/>
      <c r="B164" s="33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</row>
    <row r="165">
      <c r="A165" s="34" t="n"/>
      <c r="B165" s="35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</row>
    <row r="166">
      <c r="A166" s="32" t="n"/>
      <c r="B166" s="33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</row>
    <row r="167">
      <c r="A167" s="34" t="n"/>
      <c r="B167" s="35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</row>
    <row r="168">
      <c r="A168" s="32" t="n"/>
      <c r="B168" s="33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</row>
    <row r="169">
      <c r="A169" s="34" t="n"/>
      <c r="B169" s="35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</row>
    <row r="170">
      <c r="A170" s="32" t="n"/>
      <c r="B170" s="33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</row>
    <row r="171">
      <c r="A171" s="34" t="n"/>
      <c r="B171" s="35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</row>
    <row r="172">
      <c r="A172" s="32" t="n"/>
      <c r="B172" s="33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</row>
    <row r="173">
      <c r="A173" s="34" t="n"/>
      <c r="B173" s="35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</row>
    <row r="174">
      <c r="A174" s="32" t="n"/>
      <c r="B174" s="33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</row>
    <row r="175">
      <c r="A175" s="34" t="n"/>
      <c r="B175" s="35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</row>
    <row r="176">
      <c r="A176" s="32" t="n"/>
      <c r="B176" s="33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</row>
    <row r="177">
      <c r="A177" s="34" t="n"/>
      <c r="B177" s="35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</row>
    <row r="178">
      <c r="A178" s="32" t="n"/>
      <c r="B178" s="33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</row>
    <row r="179">
      <c r="A179" s="34" t="n"/>
      <c r="B179" s="35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</row>
    <row r="180">
      <c r="A180" s="32" t="n"/>
      <c r="B180" s="33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</row>
    <row r="181">
      <c r="A181" s="34" t="n"/>
      <c r="B181" s="35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</row>
    <row r="182">
      <c r="A182" s="32" t="n"/>
      <c r="B182" s="33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</row>
    <row r="183">
      <c r="A183" s="34" t="n"/>
      <c r="B183" s="35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</row>
    <row r="184">
      <c r="A184" s="32" t="n"/>
      <c r="B184" s="33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</row>
    <row r="185">
      <c r="A185" s="34" t="n"/>
      <c r="B185" s="35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</row>
    <row r="186">
      <c r="A186" s="32" t="n"/>
      <c r="B186" s="33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</row>
    <row r="187">
      <c r="A187" s="34" t="n"/>
      <c r="B187" s="35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</row>
    <row r="188">
      <c r="A188" s="32" t="n"/>
      <c r="B188" s="33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</row>
    <row r="189">
      <c r="A189" s="34" t="n"/>
      <c r="B189" s="35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</row>
    <row r="190">
      <c r="A190" s="32" t="n"/>
      <c r="B190" s="33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</row>
    <row r="191">
      <c r="A191" s="34" t="n"/>
      <c r="B191" s="35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</row>
    <row r="192">
      <c r="A192" s="32" t="n"/>
      <c r="B192" s="33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</row>
    <row r="193">
      <c r="A193" s="34" t="n"/>
      <c r="B193" s="35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</row>
    <row r="194">
      <c r="A194" s="32" t="n"/>
      <c r="B194" s="33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</row>
    <row r="195">
      <c r="A195" s="34" t="n"/>
      <c r="B195" s="35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</row>
    <row r="196">
      <c r="A196" s="32" t="n"/>
      <c r="B196" s="33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</row>
    <row r="197">
      <c r="A197" s="34" t="n"/>
      <c r="B197" s="35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</row>
    <row r="198">
      <c r="A198" s="32" t="n"/>
      <c r="B198" s="33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</row>
    <row r="199">
      <c r="A199" s="34" t="n"/>
      <c r="B199" s="35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</row>
    <row r="200">
      <c r="A200" s="32" t="n"/>
      <c r="B200" s="33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</row>
    <row r="201">
      <c r="A201" s="34" t="n"/>
      <c r="B201" s="35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</row>
    <row r="202">
      <c r="A202" s="32" t="n"/>
      <c r="B202" s="33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</row>
    <row r="203">
      <c r="A203" s="34" t="n"/>
      <c r="B203" s="35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</row>
    <row r="204">
      <c r="A204" s="32" t="n"/>
      <c r="B204" s="33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</row>
    <row r="205">
      <c r="A205" s="34" t="n"/>
      <c r="B205" s="35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</row>
    <row r="206">
      <c r="A206" s="32" t="n"/>
      <c r="B206" s="33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</row>
    <row r="207">
      <c r="A207" s="34" t="n"/>
      <c r="B207" s="35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</row>
    <row r="208">
      <c r="A208" s="32" t="n"/>
      <c r="B208" s="33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</row>
    <row r="209">
      <c r="A209" s="34" t="n"/>
      <c r="B209" s="35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</row>
    <row r="210">
      <c r="A210" s="32" t="n"/>
      <c r="B210" s="33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</row>
    <row r="211">
      <c r="A211" s="34" t="n"/>
      <c r="B211" s="35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</row>
    <row r="212">
      <c r="A212" s="32" t="n"/>
      <c r="B212" s="33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</row>
    <row r="213">
      <c r="A213" s="34" t="n"/>
      <c r="B213" s="35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</row>
    <row r="214">
      <c r="A214" s="32" t="n"/>
      <c r="B214" s="33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</row>
    <row r="215">
      <c r="A215" s="34" t="n"/>
      <c r="B215" s="35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</row>
    <row r="216">
      <c r="A216" s="32" t="n"/>
      <c r="B216" s="33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</row>
    <row r="217">
      <c r="A217" s="34" t="n"/>
      <c r="B217" s="35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</row>
    <row r="218">
      <c r="A218" s="32" t="n"/>
      <c r="B218" s="33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</row>
    <row r="219">
      <c r="A219" s="34" t="n"/>
      <c r="B219" s="35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</row>
    <row r="220">
      <c r="A220" s="32" t="n"/>
      <c r="B220" s="33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</row>
    <row r="221">
      <c r="A221" s="34" t="n"/>
      <c r="B221" s="35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</row>
    <row r="222">
      <c r="A222" s="32" t="n"/>
      <c r="B222" s="33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</row>
    <row r="223">
      <c r="A223" s="34" t="n"/>
      <c r="B223" s="35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</row>
    <row r="224">
      <c r="A224" s="32" t="n"/>
      <c r="B224" s="33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</row>
    <row r="225">
      <c r="A225" s="34" t="n"/>
      <c r="B225" s="35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</row>
    <row r="226">
      <c r="A226" s="32" t="n"/>
      <c r="B226" s="33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</row>
    <row r="227">
      <c r="A227" s="34" t="n"/>
      <c r="B227" s="35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</row>
    <row r="228">
      <c r="A228" s="32" t="n"/>
      <c r="B228" s="33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</row>
    <row r="229">
      <c r="A229" s="34" t="n"/>
      <c r="B229" s="35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</row>
    <row r="230">
      <c r="A230" s="32" t="n"/>
      <c r="B230" s="33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</row>
    <row r="231">
      <c r="A231" s="34" t="n"/>
      <c r="B231" s="35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</row>
    <row r="232">
      <c r="A232" s="32" t="n"/>
      <c r="B232" s="33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</row>
    <row r="233">
      <c r="A233" s="34" t="n"/>
      <c r="B233" s="35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</row>
    <row r="234">
      <c r="A234" s="32" t="n"/>
      <c r="B234" s="33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</row>
    <row r="235">
      <c r="A235" s="34" t="n"/>
      <c r="B235" s="35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</row>
    <row r="236">
      <c r="A236" s="32" t="n"/>
      <c r="B236" s="33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</row>
    <row r="237">
      <c r="A237" s="34" t="n"/>
      <c r="B237" s="35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</row>
    <row r="238">
      <c r="A238" s="32" t="n"/>
      <c r="B238" s="33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</row>
    <row r="239">
      <c r="A239" s="34" t="n"/>
      <c r="B239" s="35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</row>
    <row r="240">
      <c r="A240" s="32" t="n"/>
      <c r="B240" s="33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</row>
    <row r="241">
      <c r="A241" s="34" t="n"/>
      <c r="B241" s="35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</row>
    <row r="242">
      <c r="A242" s="32" t="n"/>
      <c r="B242" s="33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</row>
    <row r="243">
      <c r="A243" s="34" t="n"/>
      <c r="B243" s="35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</row>
    <row r="244">
      <c r="A244" s="32" t="n"/>
      <c r="B244" s="33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</row>
    <row r="245">
      <c r="A245" s="34" t="n"/>
      <c r="B245" s="35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</row>
    <row r="246">
      <c r="A246" s="32" t="n"/>
      <c r="B246" s="33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</row>
    <row r="247">
      <c r="A247" s="34" t="n"/>
      <c r="B247" s="35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</row>
    <row r="248">
      <c r="A248" s="32" t="n"/>
      <c r="B248" s="33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</row>
    <row r="249">
      <c r="A249" s="34" t="n"/>
      <c r="B249" s="35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</row>
    <row r="250">
      <c r="A250" s="32" t="n"/>
      <c r="B250" s="33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</row>
    <row r="251">
      <c r="A251" s="34" t="n"/>
      <c r="B251" s="35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</row>
    <row r="252">
      <c r="A252" s="32" t="n"/>
      <c r="B252" s="33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</row>
    <row r="253">
      <c r="A253" s="34" t="n"/>
      <c r="B253" s="35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</row>
    <row r="254">
      <c r="A254" s="32" t="n"/>
      <c r="B254" s="33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</row>
    <row r="255">
      <c r="A255" s="34" t="n"/>
      <c r="B255" s="35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</row>
    <row r="256">
      <c r="A256" s="32" t="n"/>
      <c r="B256" s="33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</row>
    <row r="257">
      <c r="A257" s="34" t="n"/>
      <c r="B257" s="35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</row>
    <row r="258">
      <c r="A258" s="32" t="n"/>
      <c r="B258" s="33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</row>
    <row r="259">
      <c r="A259" s="34" t="n"/>
      <c r="B259" s="35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</row>
    <row r="260">
      <c r="A260" s="32" t="n"/>
      <c r="B260" s="33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</row>
    <row r="261">
      <c r="A261" s="34" t="n"/>
      <c r="B261" s="35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</row>
    <row r="262">
      <c r="A262" s="32" t="n"/>
      <c r="B262" s="33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</row>
    <row r="263">
      <c r="A263" s="34" t="n"/>
      <c r="B263" s="35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</row>
    <row r="264">
      <c r="A264" s="32" t="n"/>
      <c r="B264" s="33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</row>
    <row r="265">
      <c r="A265" s="34" t="n"/>
      <c r="B265" s="35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</row>
    <row r="266">
      <c r="A266" s="32" t="n"/>
      <c r="B266" s="33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</row>
    <row r="267">
      <c r="A267" s="34" t="n"/>
      <c r="B267" s="35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</row>
    <row r="268">
      <c r="A268" s="32" t="n"/>
      <c r="B268" s="33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</row>
    <row r="269">
      <c r="A269" s="34" t="n"/>
      <c r="B269" s="35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</row>
    <row r="270">
      <c r="A270" s="32" t="n"/>
      <c r="B270" s="33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</row>
    <row r="271">
      <c r="A271" s="34" t="n"/>
      <c r="B271" s="35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</row>
    <row r="272">
      <c r="A272" s="32" t="n"/>
      <c r="B272" s="33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</row>
    <row r="273">
      <c r="A273" s="34" t="n"/>
      <c r="B273" s="35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</row>
    <row r="274">
      <c r="A274" s="32" t="n"/>
      <c r="B274" s="33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</row>
    <row r="275">
      <c r="A275" s="34" t="n"/>
      <c r="B275" s="35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</row>
    <row r="276">
      <c r="A276" s="32" t="n"/>
      <c r="B276" s="33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</row>
    <row r="277">
      <c r="A277" s="34" t="n"/>
      <c r="B277" s="35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</row>
    <row r="278">
      <c r="A278" s="32" t="n"/>
      <c r="B278" s="33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</row>
    <row r="279">
      <c r="A279" s="34" t="n"/>
      <c r="B279" s="35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</row>
    <row r="280">
      <c r="A280" s="32" t="n"/>
      <c r="B280" s="33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</row>
    <row r="281">
      <c r="A281" s="34" t="n"/>
      <c r="B281" s="35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</row>
    <row r="282">
      <c r="A282" s="32" t="n"/>
      <c r="B282" s="33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</row>
    <row r="283">
      <c r="A283" s="34" t="n"/>
      <c r="B283" s="35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</row>
    <row r="284">
      <c r="A284" s="32" t="n"/>
      <c r="B284" s="33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</row>
    <row r="285">
      <c r="A285" s="34" t="n"/>
      <c r="B285" s="35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</row>
    <row r="286">
      <c r="A286" s="32" t="n"/>
      <c r="B286" s="33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</row>
    <row r="287">
      <c r="A287" s="34" t="n"/>
      <c r="B287" s="35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</row>
    <row r="288">
      <c r="A288" s="32" t="n"/>
      <c r="B288" s="33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</row>
    <row r="289">
      <c r="A289" s="34" t="n"/>
      <c r="B289" s="35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</row>
    <row r="290">
      <c r="A290" s="32" t="n"/>
      <c r="B290" s="33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</row>
    <row r="291">
      <c r="A291" s="34" t="n"/>
      <c r="B291" s="35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</row>
    <row r="292">
      <c r="A292" s="32" t="n"/>
      <c r="B292" s="33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</row>
    <row r="293">
      <c r="A293" s="34" t="n"/>
      <c r="B293" s="35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</row>
    <row r="294">
      <c r="A294" s="32" t="n"/>
      <c r="B294" s="33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</row>
    <row r="295">
      <c r="A295" s="34" t="n"/>
      <c r="B295" s="35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</row>
    <row r="296">
      <c r="A296" s="32" t="n"/>
      <c r="B296" s="33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</row>
    <row r="297">
      <c r="A297" s="34" t="n"/>
      <c r="B297" s="35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</row>
    <row r="298">
      <c r="A298" s="32" t="n"/>
      <c r="B298" s="33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</row>
    <row r="299">
      <c r="A299" s="34" t="n"/>
      <c r="B299" s="35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</row>
    <row r="300">
      <c r="A300" s="32" t="n"/>
      <c r="B300" s="33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</row>
    <row r="301">
      <c r="A301" s="34" t="n"/>
      <c r="B301" s="35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</row>
    <row r="302">
      <c r="A302" s="32" t="n"/>
      <c r="B302" s="33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</row>
    <row r="303">
      <c r="A303" s="34" t="n"/>
      <c r="B303" s="35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</row>
    <row r="304">
      <c r="A304" s="32" t="n"/>
      <c r="B304" s="33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>
      <c r="A305" s="34" t="n"/>
      <c r="B305" s="35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</row>
    <row r="306">
      <c r="A306" s="32" t="n"/>
      <c r="B306" s="33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</row>
    <row r="307">
      <c r="A307" s="34" t="n"/>
      <c r="B307" s="35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</row>
    <row r="308">
      <c r="A308" s="32" t="n"/>
      <c r="B308" s="33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</row>
    <row r="309">
      <c r="A309" s="34" t="n"/>
      <c r="B309" s="35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</row>
    <row r="310">
      <c r="A310" s="32" t="n"/>
      <c r="B310" s="33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</row>
    <row r="311">
      <c r="A311" s="34" t="n"/>
      <c r="B311" s="35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</row>
    <row r="312">
      <c r="A312" s="32" t="n"/>
      <c r="B312" s="33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</row>
    <row r="313">
      <c r="A313" s="34" t="n"/>
      <c r="B313" s="35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</row>
    <row r="314">
      <c r="A314" s="32" t="n"/>
      <c r="B314" s="33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</row>
    <row r="315">
      <c r="A315" s="34" t="n"/>
      <c r="B315" s="35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</row>
    <row r="316">
      <c r="A316" s="32" t="n"/>
      <c r="B316" s="33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</row>
    <row r="317">
      <c r="A317" s="34" t="n"/>
      <c r="B317" s="35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</row>
    <row r="318">
      <c r="A318" s="32" t="n"/>
      <c r="B318" s="33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</row>
    <row r="319">
      <c r="A319" s="34" t="n"/>
      <c r="B319" s="35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</row>
    <row r="320">
      <c r="A320" s="32" t="n"/>
      <c r="B320" s="33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</row>
    <row r="321">
      <c r="A321" s="34" t="n"/>
      <c r="B321" s="35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</row>
    <row r="322">
      <c r="A322" s="32" t="n"/>
      <c r="B322" s="33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</row>
    <row r="323">
      <c r="A323" s="34" t="n"/>
      <c r="B323" s="35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</row>
    <row r="324">
      <c r="A324" s="32" t="n"/>
      <c r="B324" s="33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</row>
    <row r="325">
      <c r="A325" s="34" t="n"/>
      <c r="B325" s="35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</row>
    <row r="326">
      <c r="A326" s="32" t="n"/>
      <c r="B326" s="33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</row>
    <row r="327">
      <c r="A327" s="34" t="n"/>
      <c r="B327" s="35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</row>
    <row r="328">
      <c r="A328" s="32" t="n"/>
      <c r="B328" s="33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</row>
    <row r="329">
      <c r="A329" s="34" t="n"/>
      <c r="B329" s="35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</row>
    <row r="330">
      <c r="A330" s="32" t="n"/>
      <c r="B330" s="33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</row>
    <row r="331">
      <c r="A331" s="34" t="n"/>
      <c r="B331" s="35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</row>
    <row r="332">
      <c r="A332" s="32" t="n"/>
      <c r="B332" s="33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</row>
    <row r="333">
      <c r="A333" s="34" t="n"/>
      <c r="B333" s="35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</row>
    <row r="334">
      <c r="A334" s="32" t="n"/>
      <c r="B334" s="33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</row>
    <row r="335">
      <c r="A335" s="34" t="n"/>
      <c r="B335" s="35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</row>
    <row r="336">
      <c r="A336" s="32" t="n"/>
      <c r="B336" s="33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</row>
    <row r="337">
      <c r="A337" s="34" t="n"/>
      <c r="B337" s="35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</row>
    <row r="338">
      <c r="A338" s="32" t="n"/>
      <c r="B338" s="33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</row>
    <row r="339">
      <c r="A339" s="34" t="n"/>
      <c r="B339" s="35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</row>
    <row r="340">
      <c r="A340" s="32" t="n"/>
      <c r="B340" s="33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</row>
    <row r="341">
      <c r="A341" s="34" t="n"/>
      <c r="B341" s="35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</row>
    <row r="342">
      <c r="A342" s="32" t="n"/>
      <c r="B342" s="33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</row>
    <row r="343">
      <c r="A343" s="34" t="n"/>
      <c r="B343" s="35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</row>
    <row r="344">
      <c r="A344" s="32" t="n"/>
      <c r="B344" s="33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</row>
    <row r="345">
      <c r="A345" s="34" t="n"/>
      <c r="B345" s="35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</row>
    <row r="346">
      <c r="A346" s="32" t="n"/>
      <c r="B346" s="33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</row>
    <row r="347">
      <c r="A347" s="34" t="n"/>
      <c r="B347" s="35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</row>
    <row r="348">
      <c r="A348" s="32" t="n"/>
      <c r="B348" s="33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</row>
    <row r="349">
      <c r="A349" s="34" t="n"/>
      <c r="B349" s="35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</row>
    <row r="350">
      <c r="A350" s="32" t="n"/>
      <c r="B350" s="33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</row>
    <row r="351">
      <c r="A351" s="34" t="n"/>
      <c r="B351" s="35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</row>
    <row r="352">
      <c r="A352" s="32" t="n"/>
      <c r="B352" s="33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</row>
    <row r="353">
      <c r="A353" s="34" t="n"/>
      <c r="B353" s="35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</row>
    <row r="354">
      <c r="A354" s="32" t="n"/>
      <c r="B354" s="33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</row>
    <row r="355">
      <c r="A355" s="34" t="n"/>
      <c r="B355" s="35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</row>
    <row r="356">
      <c r="A356" s="32" t="n"/>
      <c r="B356" s="33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</row>
    <row r="357">
      <c r="A357" s="34" t="n"/>
      <c r="B357" s="35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</row>
    <row r="358">
      <c r="A358" s="32" t="n"/>
      <c r="B358" s="33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</row>
    <row r="359">
      <c r="A359" s="34" t="n"/>
      <c r="B359" s="35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</row>
    <row r="360">
      <c r="A360" s="32" t="n"/>
      <c r="B360" s="33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</row>
    <row r="361">
      <c r="A361" s="34" t="n"/>
      <c r="B361" s="35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</row>
    <row r="362">
      <c r="A362" s="32" t="n"/>
      <c r="B362" s="33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</row>
    <row r="363">
      <c r="A363" s="34" t="n"/>
      <c r="B363" s="35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</row>
    <row r="364">
      <c r="A364" s="32" t="n"/>
      <c r="B364" s="33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</row>
    <row r="365">
      <c r="A365" s="34" t="n"/>
      <c r="B365" s="35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</row>
    <row r="366">
      <c r="A366" s="32" t="n"/>
      <c r="B366" s="33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</row>
    <row r="367">
      <c r="A367" s="34" t="n"/>
      <c r="B367" s="35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</row>
    <row r="368">
      <c r="A368" s="32" t="n"/>
      <c r="B368" s="33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</row>
    <row r="369">
      <c r="A369" s="34" t="n"/>
      <c r="B369" s="35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</row>
    <row r="370">
      <c r="A370" s="32" t="n"/>
      <c r="B370" s="33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</row>
    <row r="371">
      <c r="A371" s="34" t="n"/>
      <c r="B371" s="35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</row>
    <row r="372">
      <c r="A372" s="32" t="n"/>
      <c r="B372" s="33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</row>
    <row r="373">
      <c r="A373" s="34" t="n"/>
      <c r="B373" s="35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</row>
    <row r="374">
      <c r="A374" s="32" t="n"/>
      <c r="B374" s="33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</row>
    <row r="375">
      <c r="A375" s="34" t="n"/>
      <c r="B375" s="35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</row>
    <row r="376">
      <c r="A376" s="32" t="n"/>
      <c r="B376" s="33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</row>
    <row r="377">
      <c r="A377" s="34" t="n"/>
      <c r="B377" s="35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</row>
    <row r="378">
      <c r="A378" s="32" t="n"/>
      <c r="B378" s="33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</row>
    <row r="379">
      <c r="A379" s="34" t="n"/>
      <c r="B379" s="35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</row>
    <row r="380">
      <c r="A380" s="32" t="n"/>
      <c r="B380" s="33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</row>
    <row r="381">
      <c r="A381" s="34" t="n"/>
      <c r="B381" s="35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</row>
    <row r="382">
      <c r="A382" s="32" t="n"/>
      <c r="B382" s="33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</row>
    <row r="383">
      <c r="A383" s="34" t="n"/>
      <c r="B383" s="35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</row>
    <row r="384">
      <c r="A384" s="32" t="n"/>
      <c r="B384" s="33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</row>
    <row r="385">
      <c r="A385" s="34" t="n"/>
      <c r="B385" s="35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</row>
    <row r="386">
      <c r="A386" s="32" t="n"/>
      <c r="B386" s="33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</row>
    <row r="387">
      <c r="A387" s="34" t="n"/>
      <c r="B387" s="35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</row>
    <row r="388">
      <c r="A388" s="32" t="n"/>
      <c r="B388" s="33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</row>
    <row r="389">
      <c r="A389" s="34" t="n"/>
      <c r="B389" s="35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</row>
    <row r="390">
      <c r="A390" s="32" t="n"/>
      <c r="B390" s="33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</row>
    <row r="391">
      <c r="A391" s="34" t="n"/>
      <c r="B391" s="35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</row>
    <row r="392">
      <c r="A392" s="32" t="n"/>
      <c r="B392" s="33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</row>
    <row r="393">
      <c r="A393" s="34" t="n"/>
      <c r="B393" s="35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</row>
    <row r="394">
      <c r="A394" s="32" t="n"/>
      <c r="B394" s="33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</row>
    <row r="395">
      <c r="A395" s="34" t="n"/>
      <c r="B395" s="35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</row>
    <row r="396">
      <c r="A396" s="32" t="n"/>
      <c r="B396" s="33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</row>
    <row r="397">
      <c r="A397" s="34" t="n"/>
      <c r="B397" s="35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</row>
    <row r="398">
      <c r="A398" s="32" t="n"/>
      <c r="B398" s="33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</row>
    <row r="399">
      <c r="A399" s="34" t="n"/>
      <c r="B399" s="35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</row>
  </sheetData>
  <autoFilter ref="A1:K1"/>
  <dataValidations count="1">
    <dataValidation sqref="A2:A3000" showDropDown="0" showInputMessage="0" showErrorMessage="0" allowBlank="1" errorTitle="Nombre fuera del equipo" error="Ese nombre no está en la hoja de indicadores. Revisa que esté escrito igual." type="list" errorStyle="warning">
      <formula1>Listas!$A$2:$A$23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2026-10-11T00:25:41Z</dcterms:created>
  <dcterms:modified xmlns:dcterms="http://purl.org/dc/terms/" xmlns:xsi="http://www.w3.org/2001/XMLSchema-instance" xsi:type="dcterms:W3CDTF">2026-10-11T00:25:41Z</dcterms:modified>
</cp:coreProperties>
</file>